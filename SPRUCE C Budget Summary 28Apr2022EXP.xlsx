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rnl-my.sharepoint.com/personal/ywo_ornl_gov/Documents/Projects/2021 ELM Modeling/Data/SPRUCE/"/>
    </mc:Choice>
  </mc:AlternateContent>
  <xr:revisionPtr revIDLastSave="28" documentId="13_ncr:1_{414410A5-020C-3742-8829-52043B6D9E2B}" xr6:coauthVersionLast="47" xr6:coauthVersionMax="47" xr10:uidLastSave="{7FDB2039-941B-4E06-8CB4-DFC3089D50F3}"/>
  <bookViews>
    <workbookView xWindow="-120" yWindow="-120" windowWidth="25440" windowHeight="15390" activeTab="1" xr2:uid="{98FE1962-243E-AA4F-B4D0-80F5BBBC9FCC}"/>
  </bookViews>
  <sheets>
    <sheet name="Data By Year" sheetId="1" r:id="rId1"/>
    <sheet name="DataForPythonRead" sheetId="2" r:id="rId2"/>
  </sheets>
  <definedNames>
    <definedName name="_xlnm.Print_Area" localSheetId="0">'Data By Year'!$A$4:$L$113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4" i="1" l="1"/>
  <c r="F95" i="1"/>
  <c r="F93" i="1"/>
  <c r="F92" i="1"/>
  <c r="F91" i="1"/>
  <c r="F90" i="1"/>
  <c r="F89" i="1"/>
  <c r="F88" i="1"/>
  <c r="F87" i="1"/>
  <c r="F86" i="1"/>
  <c r="F85" i="1"/>
  <c r="F84" i="1"/>
  <c r="H73" i="1"/>
  <c r="L73" i="1" s="1"/>
  <c r="H67" i="1"/>
  <c r="L67" i="1" s="1"/>
  <c r="H66" i="1"/>
  <c r="L66" i="1" s="1"/>
  <c r="H65" i="1"/>
  <c r="L65" i="1" s="1"/>
  <c r="H64" i="1"/>
  <c r="L64" i="1" s="1"/>
  <c r="H63" i="1"/>
  <c r="L63" i="1" s="1"/>
  <c r="H62" i="1"/>
  <c r="L62" i="1" s="1"/>
  <c r="H61" i="1"/>
  <c r="L61" i="1" s="1"/>
  <c r="H60" i="1"/>
  <c r="L60" i="1" s="1"/>
  <c r="H59" i="1"/>
  <c r="L59" i="1" s="1"/>
  <c r="H58" i="1"/>
  <c r="L58" i="1" s="1"/>
  <c r="H57" i="1"/>
  <c r="L57" i="1" s="1"/>
  <c r="H56" i="1"/>
  <c r="L56" i="1" s="1"/>
  <c r="L53" i="1"/>
  <c r="L52" i="1"/>
  <c r="L51" i="1"/>
  <c r="L50" i="1"/>
  <c r="L49" i="1"/>
  <c r="L48" i="1"/>
  <c r="L47" i="1"/>
  <c r="L46" i="1"/>
  <c r="L45" i="1"/>
  <c r="L44" i="1"/>
  <c r="L43" i="1"/>
  <c r="L42" i="1"/>
  <c r="L39" i="1"/>
  <c r="L38" i="1"/>
  <c r="L37" i="1"/>
  <c r="L36" i="1"/>
  <c r="L35" i="1"/>
  <c r="L34" i="1"/>
  <c r="L33" i="1"/>
  <c r="L32" i="1"/>
  <c r="L31" i="1"/>
  <c r="L30" i="1"/>
  <c r="L29" i="1"/>
  <c r="L28" i="1"/>
  <c r="H70" i="1" l="1"/>
  <c r="H84" i="1"/>
  <c r="L84" i="1" s="1"/>
  <c r="H71" i="1"/>
  <c r="H85" i="1"/>
  <c r="H72" i="1"/>
  <c r="H87" i="1"/>
  <c r="L87" i="1" s="1"/>
  <c r="H74" i="1"/>
  <c r="H88" i="1"/>
  <c r="L88" i="1" s="1"/>
  <c r="H75" i="1"/>
  <c r="H89" i="1"/>
  <c r="L89" i="1"/>
  <c r="H76" i="1"/>
  <c r="H90" i="1"/>
  <c r="L90" i="1" s="1"/>
  <c r="H77" i="1"/>
  <c r="H91" i="1"/>
  <c r="L91" i="1" s="1"/>
  <c r="H78" i="1"/>
  <c r="H92" i="1"/>
  <c r="L92" i="1" s="1"/>
  <c r="H79" i="1"/>
  <c r="H93" i="1"/>
  <c r="L93" i="1" s="1"/>
  <c r="H80" i="1"/>
  <c r="H81" i="1"/>
  <c r="H95" i="1"/>
  <c r="L95" i="1" s="1"/>
  <c r="L85" i="1"/>
  <c r="L72" i="1" l="1"/>
  <c r="H101" i="1"/>
  <c r="L101" i="1" s="1"/>
  <c r="H106" i="1"/>
  <c r="L106" i="1" s="1"/>
  <c r="L78" i="1"/>
  <c r="H102" i="1"/>
  <c r="L102" i="1" s="1"/>
  <c r="L74" i="1"/>
  <c r="L76" i="1"/>
  <c r="H104" i="1"/>
  <c r="L104" i="1" s="1"/>
  <c r="L71" i="1"/>
  <c r="H99" i="1"/>
  <c r="L99" i="1" s="1"/>
  <c r="L80" i="1"/>
  <c r="H86" i="1"/>
  <c r="L86" i="1" s="1"/>
  <c r="L79" i="1"/>
  <c r="H107" i="1"/>
  <c r="L107" i="1" s="1"/>
  <c r="L77" i="1"/>
  <c r="H105" i="1"/>
  <c r="L105" i="1" s="1"/>
  <c r="H109" i="1"/>
  <c r="L109" i="1" s="1"/>
  <c r="L81" i="1"/>
  <c r="H94" i="1"/>
  <c r="L94" i="1" s="1"/>
  <c r="L75" i="1"/>
  <c r="H103" i="1"/>
  <c r="L103" i="1" s="1"/>
  <c r="L70" i="1"/>
  <c r="H98" i="1"/>
  <c r="L98" i="1" s="1"/>
  <c r="H100" i="1" l="1"/>
  <c r="L100" i="1" s="1"/>
  <c r="H108" i="1"/>
  <c r="L108" i="1" s="1"/>
</calcChain>
</file>

<file path=xl/sharedStrings.xml><?xml version="1.0" encoding="utf-8"?>
<sst xmlns="http://schemas.openxmlformats.org/spreadsheetml/2006/main" count="435" uniqueCount="70">
  <si>
    <t>Plot</t>
  </si>
  <si>
    <r>
      <t>CO</t>
    </r>
    <r>
      <rPr>
        <b/>
        <vertAlign val="subscript"/>
        <sz val="10"/>
        <color theme="1"/>
        <rFont val="Times New Roman"/>
        <family val="1"/>
      </rPr>
      <t>2</t>
    </r>
  </si>
  <si>
    <t>Mean Annual Temp. at 2 m</t>
  </si>
  <si>
    <r>
      <t xml:space="preserve">NPP </t>
    </r>
    <r>
      <rPr>
        <b/>
        <i/>
        <sz val="10"/>
        <color theme="1"/>
        <rFont val="Times New Roman"/>
        <family val="1"/>
      </rPr>
      <t>Sphag</t>
    </r>
    <r>
      <rPr>
        <b/>
        <sz val="10"/>
        <color theme="1"/>
        <rFont val="Times New Roman"/>
        <family val="1"/>
      </rPr>
      <t>.</t>
    </r>
  </si>
  <si>
    <t>BNPP Tree &amp; Shrub</t>
  </si>
  <si>
    <r>
      <t>RH</t>
    </r>
    <r>
      <rPr>
        <b/>
        <vertAlign val="subscript"/>
        <sz val="10"/>
        <color theme="1"/>
        <rFont val="Times New Roman"/>
        <family val="1"/>
      </rPr>
      <t>CO2</t>
    </r>
  </si>
  <si>
    <t>CH4</t>
  </si>
  <si>
    <t>DOC Loss</t>
  </si>
  <si>
    <t>NCE</t>
  </si>
  <si>
    <t>#</t>
  </si>
  <si>
    <t>ppm</t>
  </si>
  <si>
    <t>°C</t>
  </si>
  <si>
    <r>
      <t>gC m</t>
    </r>
    <r>
      <rPr>
        <vertAlign val="superscript"/>
        <sz val="10"/>
        <color theme="1"/>
        <rFont val="Times New Roman"/>
        <family val="1"/>
      </rPr>
      <t>-2</t>
    </r>
    <r>
      <rPr>
        <sz val="10"/>
        <color theme="1"/>
        <rFont val="Times New Roman"/>
        <family val="1"/>
      </rPr>
      <t xml:space="preserve"> y</t>
    </r>
    <r>
      <rPr>
        <vertAlign val="superscript"/>
        <sz val="10"/>
        <color theme="1"/>
        <rFont val="Times New Roman"/>
        <family val="1"/>
      </rPr>
      <t>-1</t>
    </r>
  </si>
  <si>
    <t>2014-2015*</t>
  </si>
  <si>
    <t>Amb</t>
  </si>
  <si>
    <t>6.0-6.5</t>
  </si>
  <si>
    <t>104±34</t>
  </si>
  <si>
    <t>208±67</t>
  </si>
  <si>
    <t>3.4±4.8</t>
  </si>
  <si>
    <t>-283±53</t>
  </si>
  <si>
    <t>-16.0±1.8</t>
  </si>
  <si>
    <t>-14.2±0.3</t>
  </si>
  <si>
    <t>Ambient</t>
  </si>
  <si>
    <t>+0 °C</t>
  </si>
  <si>
    <t>+2.25 °C</t>
  </si>
  <si>
    <t>+4.5 °C</t>
  </si>
  <si>
    <t>+6.75 °C</t>
  </si>
  <si>
    <t>+9 °C</t>
  </si>
  <si>
    <t>75±101</t>
  </si>
  <si>
    <t>73±32</t>
  </si>
  <si>
    <t>ANPP Tree (~48%C)</t>
  </si>
  <si>
    <t>ANPP Shrub (~50%C)</t>
  </si>
  <si>
    <t>NA</t>
  </si>
  <si>
    <t>EM1</t>
  </si>
  <si>
    <t>ND</t>
  </si>
  <si>
    <t>P07</t>
  </si>
  <si>
    <t>P21</t>
  </si>
  <si>
    <t>P06</t>
  </si>
  <si>
    <t>P19</t>
  </si>
  <si>
    <t>P20</t>
  </si>
  <si>
    <t>P11</t>
  </si>
  <si>
    <t>P13</t>
  </si>
  <si>
    <t>P04</t>
  </si>
  <si>
    <t>P08</t>
  </si>
  <si>
    <t>P16</t>
  </si>
  <si>
    <t>P17</t>
  </si>
  <si>
    <t>P10</t>
  </si>
  <si>
    <t>2014-2015</t>
  </si>
  <si>
    <t xml:space="preserve">Year and Treetment Temp. Diff. </t>
  </si>
  <si>
    <t>P07 Amb</t>
  </si>
  <si>
    <t>P21 Amb</t>
  </si>
  <si>
    <t>P06   0</t>
  </si>
  <si>
    <t>P19   0</t>
  </si>
  <si>
    <t>P11 2.25</t>
  </si>
  <si>
    <t>P20 2.25</t>
  </si>
  <si>
    <t>P04 4.5</t>
  </si>
  <si>
    <t>P13 4.5</t>
  </si>
  <si>
    <t>P08 6.75</t>
  </si>
  <si>
    <t>P16 6.75</t>
  </si>
  <si>
    <t>P10   9</t>
  </si>
  <si>
    <t>P17   9</t>
  </si>
  <si>
    <t xml:space="preserve">NCE Estimates for SPRUCE from Pretreatment periods (2014-2015) through 6 years of warming and eCO2 treatments (2016, 2017, 2018, 2019, 2020, 20210. </t>
  </si>
  <si>
    <t>Paul J. Hanson 4 Jan 2023</t>
  </si>
  <si>
    <t xml:space="preserve">2022 data have not yet been calculated.  </t>
  </si>
  <si>
    <t>gC m-2 y-1</t>
  </si>
  <si>
    <t>Year</t>
  </si>
  <si>
    <t>Temperature</t>
  </si>
  <si>
    <t>CO2</t>
  </si>
  <si>
    <t>NPP Sphag.</t>
  </si>
  <si>
    <t>RHCO2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</si>
</sst>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548235"/>
      <name val="Times New Roman"/>
      <family val="1"/>
    </font>
    <font>
      <b/>
      <sz val="10"/>
      <color rgb="FF548235"/>
      <name val="Times New Roman"/>
      <family val="1"/>
    </font>
    <font>
      <sz val="10"/>
      <color rgb="FFBFBFBF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9" tint="-0.499984740745262"/>
      <name val="Times New Roman"/>
      <family val="1"/>
    </font>
    <font>
      <b/>
      <sz val="10"/>
      <color theme="9" tint="-0.499984740745262"/>
      <name val="Times New Roman"/>
      <family val="1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0" xfId="0" applyFont="1"/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vertical="center" wrapText="1"/>
    </xf>
    <xf numFmtId="164" fontId="4" fillId="0" borderId="8" xfId="0" applyNumberFormat="1" applyFont="1" applyBorder="1" applyAlignment="1">
      <alignment vertical="center" wrapText="1"/>
    </xf>
    <xf numFmtId="164" fontId="10" fillId="4" borderId="8" xfId="0" applyNumberFormat="1" applyFont="1" applyFill="1" applyBorder="1" applyAlignment="1">
      <alignment vertical="center" wrapText="1"/>
    </xf>
    <xf numFmtId="164" fontId="1" fillId="0" borderId="5" xfId="0" applyNumberFormat="1" applyFont="1" applyBorder="1" applyAlignment="1">
      <alignment vertical="center" wrapText="1"/>
    </xf>
    <xf numFmtId="164" fontId="4" fillId="0" borderId="3" xfId="0" applyNumberFormat="1" applyFont="1" applyBorder="1" applyAlignment="1">
      <alignment vertical="center" wrapText="1"/>
    </xf>
    <xf numFmtId="164" fontId="10" fillId="4" borderId="3" xfId="0" applyNumberFormat="1" applyFont="1" applyFill="1" applyBorder="1" applyAlignment="1">
      <alignment vertical="center" wrapText="1"/>
    </xf>
    <xf numFmtId="164" fontId="9" fillId="0" borderId="5" xfId="0" applyNumberFormat="1" applyFont="1" applyBorder="1" applyAlignment="1">
      <alignment vertical="center" wrapText="1"/>
    </xf>
    <xf numFmtId="164" fontId="9" fillId="0" borderId="3" xfId="0" applyNumberFormat="1" applyFont="1" applyBorder="1" applyAlignment="1">
      <alignment vertical="center" wrapText="1"/>
    </xf>
    <xf numFmtId="164" fontId="10" fillId="0" borderId="5" xfId="0" applyNumberFormat="1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164" fontId="10" fillId="4" borderId="5" xfId="0" applyNumberFormat="1" applyFont="1" applyFill="1" applyBorder="1" applyAlignment="1">
      <alignment vertical="center" wrapText="1"/>
    </xf>
    <xf numFmtId="164" fontId="12" fillId="0" borderId="0" xfId="0" applyNumberFormat="1" applyFont="1"/>
    <xf numFmtId="164" fontId="12" fillId="0" borderId="7" xfId="0" applyNumberFormat="1" applyFont="1" applyBorder="1"/>
    <xf numFmtId="164" fontId="4" fillId="0" borderId="11" xfId="0" applyNumberFormat="1" applyFont="1" applyBorder="1" applyAlignment="1">
      <alignment vertical="center" wrapText="1"/>
    </xf>
    <xf numFmtId="164" fontId="12" fillId="0" borderId="9" xfId="0" applyNumberFormat="1" applyFont="1" applyBorder="1"/>
    <xf numFmtId="164" fontId="4" fillId="0" borderId="10" xfId="0" applyNumberFormat="1" applyFont="1" applyBorder="1" applyAlignment="1">
      <alignment vertical="center" wrapText="1"/>
    </xf>
    <xf numFmtId="164" fontId="10" fillId="5" borderId="5" xfId="0" applyNumberFormat="1" applyFont="1" applyFill="1" applyBorder="1" applyAlignment="1">
      <alignment vertical="center" wrapText="1"/>
    </xf>
    <xf numFmtId="164" fontId="8" fillId="0" borderId="10" xfId="0" applyNumberFormat="1" applyFont="1" applyBorder="1" applyAlignment="1">
      <alignment vertical="center" wrapText="1"/>
    </xf>
    <xf numFmtId="164" fontId="0" fillId="0" borderId="9" xfId="0" applyNumberFormat="1" applyBorder="1"/>
    <xf numFmtId="164" fontId="1" fillId="3" borderId="5" xfId="0" applyNumberFormat="1" applyFont="1" applyFill="1" applyBorder="1" applyAlignment="1">
      <alignment vertical="center" wrapText="1"/>
    </xf>
    <xf numFmtId="164" fontId="12" fillId="0" borderId="13" xfId="0" applyNumberFormat="1" applyFont="1" applyBorder="1"/>
    <xf numFmtId="164" fontId="12" fillId="0" borderId="14" xfId="0" applyNumberFormat="1" applyFont="1" applyBorder="1"/>
    <xf numFmtId="164" fontId="4" fillId="2" borderId="5" xfId="0" applyNumberFormat="1" applyFont="1" applyFill="1" applyBorder="1" applyAlignment="1">
      <alignment vertical="center" wrapText="1"/>
    </xf>
    <xf numFmtId="164" fontId="4" fillId="2" borderId="12" xfId="0" applyNumberFormat="1" applyFont="1" applyFill="1" applyBorder="1" applyAlignment="1">
      <alignment vertical="center" wrapText="1"/>
    </xf>
    <xf numFmtId="164" fontId="9" fillId="0" borderId="11" xfId="0" applyNumberFormat="1" applyFont="1" applyBorder="1" applyAlignment="1">
      <alignment vertical="center" wrapText="1"/>
    </xf>
    <xf numFmtId="164" fontId="11" fillId="0" borderId="5" xfId="0" applyNumberFormat="1" applyFont="1" applyBorder="1" applyAlignment="1">
      <alignment vertical="center" wrapText="1"/>
    </xf>
    <xf numFmtId="164" fontId="15" fillId="4" borderId="9" xfId="0" applyNumberFormat="1" applyFont="1" applyFill="1" applyBorder="1"/>
    <xf numFmtId="164" fontId="9" fillId="2" borderId="5" xfId="0" applyNumberFormat="1" applyFont="1" applyFill="1" applyBorder="1" applyAlignment="1">
      <alignment vertical="center" wrapText="1"/>
    </xf>
    <xf numFmtId="164" fontId="16" fillId="0" borderId="9" xfId="0" applyNumberFormat="1" applyFont="1" applyBorder="1" applyAlignment="1">
      <alignment horizontal="center" wrapText="1"/>
    </xf>
    <xf numFmtId="164" fontId="16" fillId="6" borderId="9" xfId="0" applyNumberFormat="1" applyFont="1" applyFill="1" applyBorder="1" applyAlignment="1">
      <alignment horizontal="center" wrapText="1"/>
    </xf>
    <xf numFmtId="164" fontId="12" fillId="5" borderId="9" xfId="0" applyNumberFormat="1" applyFont="1" applyFill="1" applyBorder="1"/>
    <xf numFmtId="164" fontId="0" fillId="5" borderId="9" xfId="0" applyNumberFormat="1" applyFill="1" applyBorder="1"/>
    <xf numFmtId="0" fontId="4" fillId="0" borderId="0" xfId="0" applyFont="1" applyFill="1" applyBorder="1" applyAlignment="1">
      <alignment horizontal="center" vertical="center" wrapText="1"/>
    </xf>
    <xf numFmtId="0" fontId="16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Sphagnum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By Year'!$D$28:$D$109</c:f>
              <c:numCache>
                <c:formatCode>0.0</c:formatCode>
                <c:ptCount val="82"/>
                <c:pt idx="0">
                  <c:v>6</c:v>
                </c:pt>
                <c:pt idx="1">
                  <c:v>7</c:v>
                </c:pt>
                <c:pt idx="2">
                  <c:v>8.1999999999999993</c:v>
                </c:pt>
                <c:pt idx="3">
                  <c:v>7.9</c:v>
                </c:pt>
                <c:pt idx="4">
                  <c:v>10.5</c:v>
                </c:pt>
                <c:pt idx="5">
                  <c:v>10.4</c:v>
                </c:pt>
                <c:pt idx="6">
                  <c:v>12.8</c:v>
                </c:pt>
                <c:pt idx="7">
                  <c:v>12.7</c:v>
                </c:pt>
                <c:pt idx="8">
                  <c:v>14.5</c:v>
                </c:pt>
                <c:pt idx="9">
                  <c:v>14.6</c:v>
                </c:pt>
                <c:pt idx="10">
                  <c:v>16.8</c:v>
                </c:pt>
                <c:pt idx="11">
                  <c:v>16.5</c:v>
                </c:pt>
                <c:pt idx="14">
                  <c:v>5</c:v>
                </c:pt>
                <c:pt idx="15">
                  <c:v>5.8</c:v>
                </c:pt>
                <c:pt idx="16">
                  <c:v>6.8</c:v>
                </c:pt>
                <c:pt idx="17">
                  <c:v>6.5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11.2</c:v>
                </c:pt>
                <c:pt idx="21">
                  <c:v>11.3</c:v>
                </c:pt>
                <c:pt idx="22">
                  <c:v>13.3</c:v>
                </c:pt>
                <c:pt idx="23">
                  <c:v>13.4</c:v>
                </c:pt>
                <c:pt idx="24">
                  <c:v>15.5</c:v>
                </c:pt>
                <c:pt idx="25">
                  <c:v>15.4</c:v>
                </c:pt>
                <c:pt idx="28">
                  <c:v>4</c:v>
                </c:pt>
                <c:pt idx="29">
                  <c:v>4.4000000000000004</c:v>
                </c:pt>
                <c:pt idx="30">
                  <c:v>6.4</c:v>
                </c:pt>
                <c:pt idx="31">
                  <c:v>6</c:v>
                </c:pt>
                <c:pt idx="32">
                  <c:v>8.5</c:v>
                </c:pt>
                <c:pt idx="33">
                  <c:v>8.6999999999999993</c:v>
                </c:pt>
                <c:pt idx="34">
                  <c:v>10.9</c:v>
                </c:pt>
                <c:pt idx="35">
                  <c:v>10.8</c:v>
                </c:pt>
                <c:pt idx="36">
                  <c:v>13</c:v>
                </c:pt>
                <c:pt idx="37">
                  <c:v>12.9</c:v>
                </c:pt>
                <c:pt idx="38">
                  <c:v>15</c:v>
                </c:pt>
                <c:pt idx="39">
                  <c:v>15.1</c:v>
                </c:pt>
                <c:pt idx="42">
                  <c:v>3.8116666681723061</c:v>
                </c:pt>
                <c:pt idx="43">
                  <c:v>3.7393655323830544</c:v>
                </c:pt>
                <c:pt idx="44">
                  <c:v>5.5852804552969424</c:v>
                </c:pt>
                <c:pt idx="45">
                  <c:v>4.9921890073716293</c:v>
                </c:pt>
                <c:pt idx="46">
                  <c:v>7.6006292855009043</c:v>
                </c:pt>
                <c:pt idx="47">
                  <c:v>7.7287962456783106</c:v>
                </c:pt>
                <c:pt idx="48">
                  <c:v>10.155421440848107</c:v>
                </c:pt>
                <c:pt idx="49">
                  <c:v>9.9670640313031207</c:v>
                </c:pt>
                <c:pt idx="50">
                  <c:v>12.267073820393003</c:v>
                </c:pt>
                <c:pt idx="51">
                  <c:v>12.206851442462563</c:v>
                </c:pt>
                <c:pt idx="52">
                  <c:v>14.327673023826563</c:v>
                </c:pt>
                <c:pt idx="53">
                  <c:v>14.311856624712501</c:v>
                </c:pt>
                <c:pt idx="56">
                  <c:v>5.4799633379549251</c:v>
                </c:pt>
                <c:pt idx="57">
                  <c:v>5.1961942035049358</c:v>
                </c:pt>
                <c:pt idx="58">
                  <c:v>7.051947848179144</c:v>
                </c:pt>
                <c:pt idx="59">
                  <c:v>6.3368243725190805</c:v>
                </c:pt>
                <c:pt idx="60">
                  <c:v>9.1067855515877412</c:v>
                </c:pt>
                <c:pt idx="61">
                  <c:v>9.1209379744968366</c:v>
                </c:pt>
                <c:pt idx="62">
                  <c:v>11.637227059119049</c:v>
                </c:pt>
                <c:pt idx="63">
                  <c:v>11.492997622844964</c:v>
                </c:pt>
                <c:pt idx="64">
                  <c:v>13.865411286866646</c:v>
                </c:pt>
                <c:pt idx="65">
                  <c:v>13.6650375069372</c:v>
                </c:pt>
                <c:pt idx="66">
                  <c:v>15.789778209337264</c:v>
                </c:pt>
                <c:pt idx="67">
                  <c:v>15.852109103625477</c:v>
                </c:pt>
                <c:pt idx="70">
                  <c:v>6</c:v>
                </c:pt>
                <c:pt idx="71">
                  <c:v>6.4</c:v>
                </c:pt>
                <c:pt idx="72">
                  <c:v>7.7</c:v>
                </c:pt>
                <c:pt idx="73">
                  <c:v>7.8</c:v>
                </c:pt>
                <c:pt idx="74">
                  <c:v>10</c:v>
                </c:pt>
                <c:pt idx="75">
                  <c:v>9.9</c:v>
                </c:pt>
                <c:pt idx="76">
                  <c:v>12.2</c:v>
                </c:pt>
                <c:pt idx="77">
                  <c:v>12.1</c:v>
                </c:pt>
                <c:pt idx="78">
                  <c:v>14.5</c:v>
                </c:pt>
                <c:pt idx="79">
                  <c:v>14.4</c:v>
                </c:pt>
                <c:pt idx="80">
                  <c:v>16.399999999999999</c:v>
                </c:pt>
                <c:pt idx="81">
                  <c:v>16.399999999999999</c:v>
                </c:pt>
              </c:numCache>
            </c:numRef>
          </c:xVal>
          <c:yVal>
            <c:numRef>
              <c:f>'Data By Year'!$G$28:$G$109</c:f>
              <c:numCache>
                <c:formatCode>0.0</c:formatCode>
                <c:ptCount val="82"/>
                <c:pt idx="0">
                  <c:v>93.1</c:v>
                </c:pt>
                <c:pt idx="1">
                  <c:v>265.8</c:v>
                </c:pt>
                <c:pt idx="2">
                  <c:v>110.1</c:v>
                </c:pt>
                <c:pt idx="3">
                  <c:v>157.19999999999999</c:v>
                </c:pt>
                <c:pt idx="4">
                  <c:v>91.4</c:v>
                </c:pt>
                <c:pt idx="5">
                  <c:v>95.6</c:v>
                </c:pt>
                <c:pt idx="6">
                  <c:v>117.8</c:v>
                </c:pt>
                <c:pt idx="7">
                  <c:v>105.6</c:v>
                </c:pt>
                <c:pt idx="8">
                  <c:v>107.6</c:v>
                </c:pt>
                <c:pt idx="9">
                  <c:v>117.5</c:v>
                </c:pt>
                <c:pt idx="10">
                  <c:v>111.8</c:v>
                </c:pt>
                <c:pt idx="11">
                  <c:v>81.5</c:v>
                </c:pt>
                <c:pt idx="14">
                  <c:v>124.4</c:v>
                </c:pt>
                <c:pt idx="15">
                  <c:v>265.8</c:v>
                </c:pt>
                <c:pt idx="16">
                  <c:v>101.8</c:v>
                </c:pt>
                <c:pt idx="17">
                  <c:v>118.5</c:v>
                </c:pt>
                <c:pt idx="18">
                  <c:v>119.6</c:v>
                </c:pt>
                <c:pt idx="19">
                  <c:v>59.6</c:v>
                </c:pt>
                <c:pt idx="20">
                  <c:v>94</c:v>
                </c:pt>
                <c:pt idx="21">
                  <c:v>23.9</c:v>
                </c:pt>
                <c:pt idx="22">
                  <c:v>53.6</c:v>
                </c:pt>
                <c:pt idx="23">
                  <c:v>70.900000000000006</c:v>
                </c:pt>
                <c:pt idx="24">
                  <c:v>25.5</c:v>
                </c:pt>
                <c:pt idx="25">
                  <c:v>14.6</c:v>
                </c:pt>
                <c:pt idx="28">
                  <c:v>140</c:v>
                </c:pt>
                <c:pt idx="29">
                  <c:v>140</c:v>
                </c:pt>
                <c:pt idx="30">
                  <c:v>204.5</c:v>
                </c:pt>
                <c:pt idx="31">
                  <c:v>81.8</c:v>
                </c:pt>
                <c:pt idx="32">
                  <c:v>190.9</c:v>
                </c:pt>
                <c:pt idx="33">
                  <c:v>114</c:v>
                </c:pt>
                <c:pt idx="34">
                  <c:v>84.6</c:v>
                </c:pt>
                <c:pt idx="35">
                  <c:v>29.1</c:v>
                </c:pt>
                <c:pt idx="36">
                  <c:v>42.5</c:v>
                </c:pt>
                <c:pt idx="37">
                  <c:v>29.2</c:v>
                </c:pt>
                <c:pt idx="38">
                  <c:v>13.2</c:v>
                </c:pt>
                <c:pt idx="39">
                  <c:v>46.9</c:v>
                </c:pt>
                <c:pt idx="42">
                  <c:v>140</c:v>
                </c:pt>
                <c:pt idx="43">
                  <c:v>140</c:v>
                </c:pt>
                <c:pt idx="44">
                  <c:v>198.1</c:v>
                </c:pt>
                <c:pt idx="45">
                  <c:v>135.13999999999999</c:v>
                </c:pt>
                <c:pt idx="46">
                  <c:v>135.47399999999999</c:v>
                </c:pt>
                <c:pt idx="47">
                  <c:v>76.716999999999999</c:v>
                </c:pt>
                <c:pt idx="48">
                  <c:v>46.973999999999997</c:v>
                </c:pt>
                <c:pt idx="49">
                  <c:v>16.591000000000001</c:v>
                </c:pt>
                <c:pt idx="50">
                  <c:v>29.765000000000001</c:v>
                </c:pt>
                <c:pt idx="51">
                  <c:v>73.472999999999999</c:v>
                </c:pt>
                <c:pt idx="52">
                  <c:v>9.3780000000000001</c:v>
                </c:pt>
                <c:pt idx="53">
                  <c:v>7.423</c:v>
                </c:pt>
                <c:pt idx="56">
                  <c:v>140</c:v>
                </c:pt>
                <c:pt idx="57">
                  <c:v>140</c:v>
                </c:pt>
                <c:pt idx="58">
                  <c:v>148.80000000000001</c:v>
                </c:pt>
                <c:pt idx="59">
                  <c:v>116.3</c:v>
                </c:pt>
                <c:pt idx="60">
                  <c:v>134.80000000000001</c:v>
                </c:pt>
                <c:pt idx="61">
                  <c:v>82.7</c:v>
                </c:pt>
                <c:pt idx="62">
                  <c:v>62.5</c:v>
                </c:pt>
                <c:pt idx="63">
                  <c:v>4.8</c:v>
                </c:pt>
                <c:pt idx="64">
                  <c:v>9.6999999999999993</c:v>
                </c:pt>
                <c:pt idx="65">
                  <c:v>50.3</c:v>
                </c:pt>
                <c:pt idx="66">
                  <c:v>1.8</c:v>
                </c:pt>
                <c:pt idx="67">
                  <c:v>4.9000000000000004</c:v>
                </c:pt>
                <c:pt idx="70">
                  <c:v>140</c:v>
                </c:pt>
                <c:pt idx="71">
                  <c:v>140</c:v>
                </c:pt>
                <c:pt idx="72">
                  <c:v>85.7</c:v>
                </c:pt>
                <c:pt idx="73">
                  <c:v>71.8</c:v>
                </c:pt>
                <c:pt idx="74">
                  <c:v>114.8</c:v>
                </c:pt>
                <c:pt idx="75">
                  <c:v>43.9</c:v>
                </c:pt>
                <c:pt idx="76">
                  <c:v>64.3</c:v>
                </c:pt>
                <c:pt idx="77">
                  <c:v>9.6</c:v>
                </c:pt>
                <c:pt idx="78">
                  <c:v>15.3</c:v>
                </c:pt>
                <c:pt idx="79">
                  <c:v>28.2</c:v>
                </c:pt>
                <c:pt idx="80">
                  <c:v>0</c:v>
                </c:pt>
                <c:pt idx="81">
                  <c:v>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F-144A-B41D-E420E04F4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9967"/>
        <c:axId val="73871615"/>
      </c:scatterChart>
      <c:valAx>
        <c:axId val="7386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1615"/>
        <c:crosses val="autoZero"/>
        <c:crossBetween val="midCat"/>
      </c:valAx>
      <c:valAx>
        <c:axId val="738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124</xdr:row>
      <xdr:rowOff>109220</xdr:rowOff>
    </xdr:from>
    <xdr:to>
      <xdr:col>8</xdr:col>
      <xdr:colOff>386080</xdr:colOff>
      <xdr:row>138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5729B-2ACB-1642-99D9-8A93151CD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C9AA-5134-7D45-B929-53CDF232752F}">
  <sheetPr codeName="Sheet1">
    <pageSetUpPr fitToPage="1"/>
  </sheetPr>
  <dimension ref="A1:R120"/>
  <sheetViews>
    <sheetView zoomScale="125" zoomScaleNormal="125" workbookViewId="0">
      <pane ySplit="7800" topLeftCell="A99" activePane="bottomLeft"/>
      <selection activeCell="A18" sqref="A18"/>
      <selection pane="bottomLeft" activeCell="C107" sqref="C107"/>
    </sheetView>
  </sheetViews>
  <sheetFormatPr defaultColWidth="11" defaultRowHeight="15.75" x14ac:dyDescent="0.25"/>
  <sheetData>
    <row r="1" spans="1:14" x14ac:dyDescent="0.25">
      <c r="A1" s="58" t="s">
        <v>61</v>
      </c>
      <c r="G1" s="57"/>
    </row>
    <row r="2" spans="1:14" x14ac:dyDescent="0.25">
      <c r="A2" s="58" t="s">
        <v>62</v>
      </c>
      <c r="G2" s="57"/>
    </row>
    <row r="3" spans="1:14" ht="16.5" thickBot="1" x14ac:dyDescent="0.3"/>
    <row r="4" spans="1:14" x14ac:dyDescent="0.25">
      <c r="A4" s="59" t="s">
        <v>48</v>
      </c>
      <c r="B4" s="59" t="s">
        <v>0</v>
      </c>
      <c r="C4" s="59" t="s">
        <v>1</v>
      </c>
      <c r="D4" s="59" t="s">
        <v>2</v>
      </c>
      <c r="E4" s="59" t="s">
        <v>30</v>
      </c>
      <c r="F4" s="59" t="s">
        <v>31</v>
      </c>
      <c r="G4" s="59" t="s">
        <v>3</v>
      </c>
      <c r="H4" s="59" t="s">
        <v>4</v>
      </c>
      <c r="I4" s="59" t="s">
        <v>5</v>
      </c>
      <c r="J4" s="59" t="s">
        <v>6</v>
      </c>
      <c r="K4" s="59" t="s">
        <v>7</v>
      </c>
      <c r="L4" s="59" t="s">
        <v>8</v>
      </c>
      <c r="M4" s="17"/>
      <c r="N4" s="17"/>
    </row>
    <row r="5" spans="1:14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17"/>
      <c r="N5" s="17"/>
    </row>
    <row r="6" spans="1:14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17"/>
      <c r="N6" s="17"/>
    </row>
    <row r="7" spans="1:14" ht="16.5" thickBot="1" x14ac:dyDescent="0.3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17"/>
      <c r="N7" s="17"/>
    </row>
    <row r="8" spans="1:14" ht="16.5" thickBot="1" x14ac:dyDescent="0.3">
      <c r="A8" s="16"/>
      <c r="B8" s="1" t="s">
        <v>9</v>
      </c>
      <c r="C8" s="1" t="s">
        <v>10</v>
      </c>
      <c r="D8" s="2" t="s">
        <v>11</v>
      </c>
      <c r="E8" s="62" t="s">
        <v>12</v>
      </c>
      <c r="F8" s="63"/>
      <c r="G8" s="63"/>
      <c r="H8" s="63"/>
      <c r="I8" s="63"/>
      <c r="J8" s="63"/>
      <c r="K8" s="63"/>
      <c r="L8" s="64"/>
      <c r="M8" s="17"/>
      <c r="N8" s="17"/>
    </row>
    <row r="9" spans="1:14" ht="16.5" thickBot="1" x14ac:dyDescent="0.3">
      <c r="A9" s="3"/>
      <c r="B9" s="4"/>
      <c r="C9" s="4"/>
      <c r="D9" s="4"/>
      <c r="E9" s="4"/>
      <c r="F9" s="4"/>
      <c r="G9" s="4"/>
      <c r="H9" s="4"/>
      <c r="I9" s="5"/>
      <c r="J9" s="4"/>
      <c r="K9" s="4"/>
      <c r="L9" s="4"/>
      <c r="M9" s="17"/>
      <c r="N9" s="17"/>
    </row>
    <row r="10" spans="1:14" ht="16.5" thickBot="1" x14ac:dyDescent="0.3">
      <c r="A10" s="8"/>
      <c r="B10" s="1"/>
      <c r="C10" s="1"/>
      <c r="D10" s="4"/>
      <c r="E10" s="4"/>
      <c r="F10" s="4"/>
      <c r="G10" s="4"/>
      <c r="H10" s="4"/>
      <c r="I10" s="5"/>
      <c r="J10" s="4"/>
      <c r="K10" s="4"/>
      <c r="L10" s="4"/>
      <c r="M10" s="17"/>
      <c r="N10" s="17"/>
    </row>
    <row r="11" spans="1:14" ht="16.5" thickBot="1" x14ac:dyDescent="0.3">
      <c r="A11" s="24" t="s">
        <v>13</v>
      </c>
      <c r="B11" s="20"/>
      <c r="C11" s="20" t="s">
        <v>14</v>
      </c>
      <c r="D11" s="20" t="s">
        <v>15</v>
      </c>
      <c r="E11" s="20" t="s">
        <v>29</v>
      </c>
      <c r="F11" s="20" t="s">
        <v>16</v>
      </c>
      <c r="G11" s="20" t="s">
        <v>17</v>
      </c>
      <c r="H11" s="20" t="s">
        <v>18</v>
      </c>
      <c r="I11" s="20" t="s">
        <v>19</v>
      </c>
      <c r="J11" s="20" t="s">
        <v>20</v>
      </c>
      <c r="K11" s="20" t="s">
        <v>21</v>
      </c>
      <c r="L11" s="20" t="s">
        <v>28</v>
      </c>
      <c r="M11" s="17"/>
      <c r="N11" s="17"/>
    </row>
    <row r="12" spans="1:14" ht="16.5" thickBot="1" x14ac:dyDescent="0.3">
      <c r="A12" s="24"/>
      <c r="B12" s="20"/>
      <c r="C12" s="20"/>
      <c r="D12" s="20"/>
      <c r="E12" s="2" t="s">
        <v>47</v>
      </c>
      <c r="F12" s="2">
        <v>2015</v>
      </c>
      <c r="G12" s="20"/>
      <c r="H12" s="20"/>
      <c r="I12" s="20"/>
      <c r="J12" s="20"/>
      <c r="K12" s="20"/>
      <c r="L12" s="20"/>
      <c r="M12" s="17"/>
      <c r="N12" s="17"/>
    </row>
    <row r="13" spans="1:14" ht="16.5" thickBot="1" x14ac:dyDescent="0.3">
      <c r="A13" s="18" t="s">
        <v>22</v>
      </c>
      <c r="B13" s="19" t="s">
        <v>33</v>
      </c>
      <c r="C13" s="19" t="s">
        <v>14</v>
      </c>
      <c r="D13" s="19">
        <v>4.7</v>
      </c>
      <c r="E13" s="19" t="s">
        <v>34</v>
      </c>
      <c r="F13" s="19" t="s">
        <v>34</v>
      </c>
      <c r="G13" s="19" t="s">
        <v>34</v>
      </c>
      <c r="H13" s="19"/>
      <c r="I13" s="20"/>
      <c r="J13" s="19"/>
      <c r="K13" s="19"/>
      <c r="L13" s="19"/>
      <c r="M13" s="17"/>
      <c r="N13" s="17"/>
    </row>
    <row r="14" spans="1:14" ht="16.5" thickBot="1" x14ac:dyDescent="0.3">
      <c r="A14" s="18" t="s">
        <v>22</v>
      </c>
      <c r="B14" s="19" t="s">
        <v>35</v>
      </c>
      <c r="C14" s="19" t="s">
        <v>14</v>
      </c>
      <c r="D14" s="19">
        <v>5.6</v>
      </c>
      <c r="E14" s="21">
        <v>47.6</v>
      </c>
      <c r="F14" s="19">
        <v>121.2</v>
      </c>
      <c r="G14" s="19" t="s">
        <v>34</v>
      </c>
      <c r="H14" s="19"/>
      <c r="I14" s="20"/>
      <c r="J14" s="19"/>
      <c r="K14" s="19"/>
      <c r="L14" s="19"/>
      <c r="M14" s="17"/>
      <c r="N14" s="17"/>
    </row>
    <row r="15" spans="1:14" ht="16.5" thickBot="1" x14ac:dyDescent="0.3">
      <c r="A15" s="18" t="s">
        <v>22</v>
      </c>
      <c r="B15" s="19" t="s">
        <v>36</v>
      </c>
      <c r="C15" s="19" t="s">
        <v>14</v>
      </c>
      <c r="D15" s="19" t="s">
        <v>32</v>
      </c>
      <c r="E15" s="21">
        <v>100</v>
      </c>
      <c r="F15" s="19">
        <v>54.3</v>
      </c>
      <c r="G15" s="19" t="s">
        <v>34</v>
      </c>
      <c r="H15" s="19"/>
      <c r="I15" s="20"/>
      <c r="J15" s="19"/>
      <c r="K15" s="19"/>
      <c r="L15" s="19"/>
      <c r="M15" s="17"/>
      <c r="N15" s="17"/>
    </row>
    <row r="16" spans="1:14" ht="16.5" thickBot="1" x14ac:dyDescent="0.3">
      <c r="A16" s="18" t="s">
        <v>23</v>
      </c>
      <c r="B16" s="19" t="s">
        <v>37</v>
      </c>
      <c r="C16" s="19" t="s">
        <v>14</v>
      </c>
      <c r="D16" s="19">
        <v>6.7</v>
      </c>
      <c r="E16" s="21">
        <v>42.1</v>
      </c>
      <c r="F16" s="19">
        <v>107.9</v>
      </c>
      <c r="G16" s="19" t="s">
        <v>34</v>
      </c>
      <c r="H16" s="19"/>
      <c r="I16" s="20"/>
      <c r="J16" s="19"/>
      <c r="K16" s="19"/>
      <c r="L16" s="19"/>
      <c r="M16" s="17"/>
      <c r="N16" s="17"/>
    </row>
    <row r="17" spans="1:14" ht="16.5" thickBot="1" x14ac:dyDescent="0.3">
      <c r="A17" s="18" t="s">
        <v>23</v>
      </c>
      <c r="B17" s="19" t="s">
        <v>38</v>
      </c>
      <c r="C17" s="19" t="s">
        <v>14</v>
      </c>
      <c r="D17" s="19" t="s">
        <v>32</v>
      </c>
      <c r="E17" s="21">
        <v>108.9</v>
      </c>
      <c r="F17" s="19">
        <v>92.1</v>
      </c>
      <c r="G17" s="19" t="s">
        <v>34</v>
      </c>
      <c r="H17" s="19"/>
      <c r="I17" s="20"/>
      <c r="J17" s="19"/>
      <c r="K17" s="19"/>
      <c r="L17" s="19"/>
      <c r="M17" s="17"/>
      <c r="N17" s="17"/>
    </row>
    <row r="18" spans="1:14" ht="16.5" thickBot="1" x14ac:dyDescent="0.3">
      <c r="A18" s="18" t="s">
        <v>24</v>
      </c>
      <c r="B18" s="19" t="s">
        <v>39</v>
      </c>
      <c r="C18" s="19" t="s">
        <v>14</v>
      </c>
      <c r="D18" s="19" t="s">
        <v>32</v>
      </c>
      <c r="E18" s="21">
        <v>136</v>
      </c>
      <c r="F18" s="19">
        <v>121.2</v>
      </c>
      <c r="G18" s="19" t="s">
        <v>34</v>
      </c>
      <c r="H18" s="19"/>
      <c r="I18" s="20"/>
      <c r="J18" s="19"/>
      <c r="K18" s="19"/>
      <c r="L18" s="19"/>
      <c r="M18" s="17"/>
      <c r="N18" s="17"/>
    </row>
    <row r="19" spans="1:14" ht="16.5" thickBot="1" x14ac:dyDescent="0.3">
      <c r="A19" s="18" t="s">
        <v>24</v>
      </c>
      <c r="B19" s="19" t="s">
        <v>40</v>
      </c>
      <c r="C19" s="19" t="s">
        <v>14</v>
      </c>
      <c r="D19" s="19" t="s">
        <v>32</v>
      </c>
      <c r="E19" s="21">
        <v>64.599999999999994</v>
      </c>
      <c r="F19" s="19">
        <v>74.7</v>
      </c>
      <c r="G19" s="19" t="s">
        <v>34</v>
      </c>
      <c r="H19" s="19"/>
      <c r="I19" s="20"/>
      <c r="J19" s="19"/>
      <c r="K19" s="19"/>
      <c r="L19" s="19"/>
      <c r="M19" s="17"/>
      <c r="N19" s="17"/>
    </row>
    <row r="20" spans="1:14" ht="16.5" thickBot="1" x14ac:dyDescent="0.3">
      <c r="A20" s="18" t="s">
        <v>25</v>
      </c>
      <c r="B20" s="19" t="s">
        <v>41</v>
      </c>
      <c r="C20" s="19" t="s">
        <v>14</v>
      </c>
      <c r="D20" s="19" t="s">
        <v>32</v>
      </c>
      <c r="E20" s="21">
        <v>48.3</v>
      </c>
      <c r="F20" s="19">
        <v>176.1</v>
      </c>
      <c r="G20" s="19" t="s">
        <v>34</v>
      </c>
      <c r="H20" s="19"/>
      <c r="I20" s="20"/>
      <c r="J20" s="19"/>
      <c r="K20" s="19"/>
      <c r="L20" s="19"/>
      <c r="M20" s="17"/>
      <c r="N20" s="17"/>
    </row>
    <row r="21" spans="1:14" ht="16.5" thickBot="1" x14ac:dyDescent="0.3">
      <c r="A21" s="18" t="s">
        <v>25</v>
      </c>
      <c r="B21" s="19" t="s">
        <v>42</v>
      </c>
      <c r="C21" s="19" t="s">
        <v>14</v>
      </c>
      <c r="D21" s="19">
        <v>8.1</v>
      </c>
      <c r="E21" s="21">
        <v>50.6</v>
      </c>
      <c r="F21" s="19">
        <v>70.2</v>
      </c>
      <c r="G21" s="19" t="s">
        <v>34</v>
      </c>
      <c r="H21" s="19"/>
      <c r="I21" s="20"/>
      <c r="J21" s="19"/>
      <c r="K21" s="19"/>
      <c r="L21" s="19"/>
      <c r="M21" s="17"/>
      <c r="N21" s="17"/>
    </row>
    <row r="22" spans="1:14" ht="16.5" thickBot="1" x14ac:dyDescent="0.3">
      <c r="A22" s="18" t="s">
        <v>26</v>
      </c>
      <c r="B22" s="19" t="s">
        <v>43</v>
      </c>
      <c r="C22" s="19" t="s">
        <v>14</v>
      </c>
      <c r="D22" s="19" t="s">
        <v>32</v>
      </c>
      <c r="E22" s="21">
        <v>64.400000000000006</v>
      </c>
      <c r="F22" s="19">
        <v>243.6</v>
      </c>
      <c r="G22" s="19" t="s">
        <v>34</v>
      </c>
      <c r="H22" s="19"/>
      <c r="I22" s="20"/>
      <c r="J22" s="19"/>
      <c r="K22" s="19"/>
      <c r="L22" s="19"/>
      <c r="M22" s="17"/>
      <c r="N22" s="17"/>
    </row>
    <row r="23" spans="1:14" ht="16.5" thickBot="1" x14ac:dyDescent="0.3">
      <c r="A23" s="18" t="s">
        <v>26</v>
      </c>
      <c r="B23" s="19" t="s">
        <v>44</v>
      </c>
      <c r="C23" s="19" t="s">
        <v>14</v>
      </c>
      <c r="D23" s="19" t="s">
        <v>32</v>
      </c>
      <c r="E23" s="21">
        <v>111</v>
      </c>
      <c r="F23" s="19">
        <v>100</v>
      </c>
      <c r="G23" s="19" t="s">
        <v>34</v>
      </c>
      <c r="H23" s="19"/>
      <c r="I23" s="20"/>
      <c r="J23" s="19"/>
      <c r="K23" s="19"/>
      <c r="L23" s="19"/>
      <c r="M23" s="17"/>
      <c r="N23" s="17"/>
    </row>
    <row r="24" spans="1:14" ht="16.5" thickBot="1" x14ac:dyDescent="0.3">
      <c r="A24" s="18" t="s">
        <v>27</v>
      </c>
      <c r="B24" s="19" t="s">
        <v>45</v>
      </c>
      <c r="C24" s="19" t="s">
        <v>14</v>
      </c>
      <c r="D24" s="19" t="s">
        <v>32</v>
      </c>
      <c r="E24" s="21">
        <v>57.8</v>
      </c>
      <c r="F24" s="19">
        <v>95.7</v>
      </c>
      <c r="G24" s="19" t="s">
        <v>34</v>
      </c>
      <c r="H24" s="19"/>
      <c r="I24" s="20"/>
      <c r="J24" s="19"/>
      <c r="K24" s="19"/>
      <c r="L24" s="19"/>
      <c r="M24" s="17"/>
      <c r="N24" s="17"/>
    </row>
    <row r="25" spans="1:14" ht="16.5" thickBot="1" x14ac:dyDescent="0.3">
      <c r="A25" s="18" t="s">
        <v>27</v>
      </c>
      <c r="B25" s="19" t="s">
        <v>46</v>
      </c>
      <c r="C25" s="19" t="s">
        <v>14</v>
      </c>
      <c r="D25" s="19" t="s">
        <v>32</v>
      </c>
      <c r="E25" s="21">
        <v>41.2</v>
      </c>
      <c r="F25" s="19">
        <v>144.6</v>
      </c>
      <c r="G25" s="19" t="s">
        <v>34</v>
      </c>
      <c r="H25" s="19"/>
      <c r="I25" s="20"/>
      <c r="J25" s="19"/>
      <c r="K25" s="19"/>
      <c r="L25" s="19"/>
      <c r="M25" s="17"/>
      <c r="N25" s="17"/>
    </row>
    <row r="26" spans="1:14" ht="16.5" thickBot="1" x14ac:dyDescent="0.3">
      <c r="A26" s="3"/>
      <c r="B26" s="4"/>
      <c r="C26" s="4"/>
      <c r="D26" s="4"/>
      <c r="E26" s="22"/>
      <c r="F26" s="4"/>
      <c r="G26" s="4"/>
      <c r="H26" s="4"/>
      <c r="I26" s="5"/>
      <c r="J26" s="4"/>
      <c r="K26" s="4"/>
      <c r="L26" s="4"/>
      <c r="M26" s="17"/>
    </row>
    <row r="27" spans="1:14" ht="16.5" thickBot="1" x14ac:dyDescent="0.3">
      <c r="A27" s="6">
        <v>2016</v>
      </c>
      <c r="B27" s="7"/>
      <c r="C27" s="7"/>
      <c r="D27" s="7"/>
      <c r="E27" s="23"/>
      <c r="F27" s="7"/>
      <c r="G27" s="7"/>
      <c r="H27" s="7"/>
      <c r="I27" s="7"/>
      <c r="J27" s="7"/>
      <c r="K27" s="7"/>
      <c r="L27" s="7"/>
      <c r="M27" s="17"/>
    </row>
    <row r="28" spans="1:14" ht="16.5" thickBot="1" x14ac:dyDescent="0.3">
      <c r="A28" s="8" t="s">
        <v>22</v>
      </c>
      <c r="B28" s="19" t="s">
        <v>35</v>
      </c>
      <c r="C28" s="7" t="s">
        <v>14</v>
      </c>
      <c r="D28" s="25">
        <v>6</v>
      </c>
      <c r="E28" s="25">
        <v>54.9</v>
      </c>
      <c r="F28" s="25">
        <v>56.4</v>
      </c>
      <c r="G28" s="25">
        <v>93.1</v>
      </c>
      <c r="H28" s="26">
        <v>9.4</v>
      </c>
      <c r="I28" s="25">
        <v>-369.9</v>
      </c>
      <c r="J28" s="55">
        <v>-55.606491091658818</v>
      </c>
      <c r="K28" s="27">
        <v>-40</v>
      </c>
      <c r="L28" s="28">
        <f>SUM(E28:K28)</f>
        <v>-251.70649109165882</v>
      </c>
      <c r="M28" s="17"/>
    </row>
    <row r="29" spans="1:14" ht="16.5" thickBot="1" x14ac:dyDescent="0.3">
      <c r="A29" s="8" t="s">
        <v>22</v>
      </c>
      <c r="B29" s="19" t="s">
        <v>36</v>
      </c>
      <c r="C29" s="1" t="s">
        <v>14</v>
      </c>
      <c r="D29" s="25">
        <v>7</v>
      </c>
      <c r="E29" s="25">
        <v>108.7</v>
      </c>
      <c r="F29" s="25">
        <v>105.3</v>
      </c>
      <c r="G29" s="25">
        <v>265.8</v>
      </c>
      <c r="H29" s="29">
        <v>41.3</v>
      </c>
      <c r="I29" s="25">
        <v>-387.7</v>
      </c>
      <c r="J29" s="56">
        <v>-54.878756156827563</v>
      </c>
      <c r="K29" s="30">
        <v>-40</v>
      </c>
      <c r="L29" s="28">
        <f t="shared" ref="L29:L39" si="0">SUM(E29:K29)</f>
        <v>38.521243843172471</v>
      </c>
      <c r="M29" s="17"/>
    </row>
    <row r="30" spans="1:14" ht="16.5" thickBot="1" x14ac:dyDescent="0.3">
      <c r="A30" s="8" t="s">
        <v>23</v>
      </c>
      <c r="B30" s="19" t="s">
        <v>37</v>
      </c>
      <c r="C30" s="1">
        <v>0</v>
      </c>
      <c r="D30" s="31">
        <v>8.1999999999999993</v>
      </c>
      <c r="E30" s="25">
        <v>46.5</v>
      </c>
      <c r="F30" s="25">
        <v>55.3</v>
      </c>
      <c r="G30" s="25">
        <v>110.1</v>
      </c>
      <c r="H30" s="32">
        <v>63.5</v>
      </c>
      <c r="I30" s="25">
        <v>-352.7</v>
      </c>
      <c r="J30" s="56">
        <v>-34.083586953510476</v>
      </c>
      <c r="K30" s="25">
        <v>-49.896272401004268</v>
      </c>
      <c r="L30" s="28">
        <f t="shared" si="0"/>
        <v>-161.27985935451477</v>
      </c>
      <c r="M30" s="17"/>
    </row>
    <row r="31" spans="1:14" ht="16.5" thickBot="1" x14ac:dyDescent="0.3">
      <c r="A31" s="8" t="s">
        <v>23</v>
      </c>
      <c r="B31" s="19" t="s">
        <v>38</v>
      </c>
      <c r="C31" s="1">
        <v>500</v>
      </c>
      <c r="D31" s="31">
        <v>7.9</v>
      </c>
      <c r="E31" s="25">
        <v>105.6</v>
      </c>
      <c r="F31" s="25">
        <v>99.3</v>
      </c>
      <c r="G31" s="25">
        <v>157.19999999999999</v>
      </c>
      <c r="H31" s="32">
        <v>33.9</v>
      </c>
      <c r="I31" s="25">
        <v>-372.5</v>
      </c>
      <c r="J31" s="56">
        <v>-38.072734639045578</v>
      </c>
      <c r="K31" s="25">
        <v>-30.555130371760939</v>
      </c>
      <c r="L31" s="28">
        <f t="shared" si="0"/>
        <v>-45.127865010806573</v>
      </c>
      <c r="M31" s="17"/>
      <c r="N31" s="17"/>
    </row>
    <row r="32" spans="1:14" ht="16.5" thickBot="1" x14ac:dyDescent="0.3">
      <c r="A32" s="8" t="s">
        <v>24</v>
      </c>
      <c r="B32" s="19" t="s">
        <v>39</v>
      </c>
      <c r="C32" s="1">
        <v>0</v>
      </c>
      <c r="D32" s="31">
        <v>10.5</v>
      </c>
      <c r="E32" s="25">
        <v>146.4</v>
      </c>
      <c r="F32" s="25">
        <v>131.4</v>
      </c>
      <c r="G32" s="25">
        <v>91.4</v>
      </c>
      <c r="H32" s="32">
        <v>107.6</v>
      </c>
      <c r="I32" s="25">
        <v>-439.5</v>
      </c>
      <c r="J32" s="56">
        <v>-28.497362162039533</v>
      </c>
      <c r="K32" s="25">
        <v>-95.831665599037535</v>
      </c>
      <c r="L32" s="28">
        <f t="shared" si="0"/>
        <v>-87.029027761077003</v>
      </c>
      <c r="M32" s="17"/>
      <c r="N32" s="17"/>
    </row>
    <row r="33" spans="1:18" ht="16.5" thickBot="1" x14ac:dyDescent="0.3">
      <c r="A33" s="8" t="s">
        <v>24</v>
      </c>
      <c r="B33" s="19" t="s">
        <v>40</v>
      </c>
      <c r="C33" s="1">
        <v>500</v>
      </c>
      <c r="D33" s="31">
        <v>10.4</v>
      </c>
      <c r="E33" s="25">
        <v>67.7</v>
      </c>
      <c r="F33" s="25">
        <v>118.3</v>
      </c>
      <c r="G33" s="25">
        <v>95.6</v>
      </c>
      <c r="H33" s="32">
        <v>28.4</v>
      </c>
      <c r="I33" s="25">
        <v>-467.4</v>
      </c>
      <c r="J33" s="56">
        <v>-30.547359097255672</v>
      </c>
      <c r="K33" s="25">
        <v>-45.706811462278644</v>
      </c>
      <c r="L33" s="28">
        <f t="shared" si="0"/>
        <v>-233.65417055953429</v>
      </c>
      <c r="M33" s="17"/>
      <c r="N33" s="17"/>
      <c r="O33" s="17"/>
      <c r="P33" s="17">
        <v>2016</v>
      </c>
      <c r="Q33" s="17">
        <v>2017</v>
      </c>
      <c r="R33" s="17">
        <v>2018</v>
      </c>
    </row>
    <row r="34" spans="1:18" ht="16.5" thickBot="1" x14ac:dyDescent="0.3">
      <c r="A34" s="8" t="s">
        <v>25</v>
      </c>
      <c r="B34" s="19" t="s">
        <v>41</v>
      </c>
      <c r="C34" s="1">
        <v>0</v>
      </c>
      <c r="D34" s="31">
        <v>12.8</v>
      </c>
      <c r="E34" s="25">
        <v>51.9</v>
      </c>
      <c r="F34" s="25">
        <v>84.8</v>
      </c>
      <c r="G34" s="25">
        <v>117.8</v>
      </c>
      <c r="H34" s="32">
        <v>88.4</v>
      </c>
      <c r="I34" s="25">
        <v>-453.3</v>
      </c>
      <c r="J34" s="56">
        <v>-47.069207502878029</v>
      </c>
      <c r="K34" s="25">
        <v>-49.642981381407914</v>
      </c>
      <c r="L34" s="28">
        <f t="shared" si="0"/>
        <v>-207.11218888428598</v>
      </c>
      <c r="M34" s="17"/>
      <c r="N34" s="17"/>
      <c r="O34" s="53" t="s">
        <v>49</v>
      </c>
      <c r="P34" s="55">
        <v>-55.606491091658818</v>
      </c>
      <c r="Q34" s="55">
        <v>-48.950020925690801</v>
      </c>
      <c r="R34" s="55">
        <v>-52.469029368593937</v>
      </c>
    </row>
    <row r="35" spans="1:18" ht="16.5" thickBot="1" x14ac:dyDescent="0.3">
      <c r="A35" s="8" t="s">
        <v>25</v>
      </c>
      <c r="B35" s="19" t="s">
        <v>42</v>
      </c>
      <c r="C35" s="1">
        <v>500</v>
      </c>
      <c r="D35" s="31">
        <v>12.7</v>
      </c>
      <c r="E35" s="25">
        <v>49</v>
      </c>
      <c r="F35" s="25">
        <v>171</v>
      </c>
      <c r="G35" s="25">
        <v>105.6</v>
      </c>
      <c r="H35" s="32">
        <v>104.9</v>
      </c>
      <c r="I35" s="25">
        <v>-537.29999999999995</v>
      </c>
      <c r="J35" s="56">
        <v>-54.571763430273734</v>
      </c>
      <c r="K35" s="25">
        <v>-65.253498173704457</v>
      </c>
      <c r="L35" s="28">
        <f t="shared" si="0"/>
        <v>-226.62526160397815</v>
      </c>
      <c r="M35" s="17"/>
      <c r="N35" s="17"/>
      <c r="O35" s="53" t="s">
        <v>50</v>
      </c>
      <c r="P35" s="56">
        <v>-54.878756156827563</v>
      </c>
      <c r="Q35" s="56">
        <v>-53.673663785268879</v>
      </c>
      <c r="R35" s="56">
        <v>-52.812598773037053</v>
      </c>
    </row>
    <row r="36" spans="1:18" ht="16.5" thickBot="1" x14ac:dyDescent="0.3">
      <c r="A36" s="8" t="s">
        <v>26</v>
      </c>
      <c r="B36" s="19" t="s">
        <v>43</v>
      </c>
      <c r="C36" s="1">
        <v>0</v>
      </c>
      <c r="D36" s="31">
        <v>14.5</v>
      </c>
      <c r="E36" s="25">
        <v>73.7</v>
      </c>
      <c r="F36" s="25">
        <v>116.9</v>
      </c>
      <c r="G36" s="25">
        <v>107.6</v>
      </c>
      <c r="H36" s="32">
        <v>105.5</v>
      </c>
      <c r="I36" s="25">
        <v>-505.1</v>
      </c>
      <c r="J36" s="56">
        <v>-149.64622752264029</v>
      </c>
      <c r="K36" s="25">
        <v>-47.353453477909483</v>
      </c>
      <c r="L36" s="28">
        <f t="shared" si="0"/>
        <v>-298.39968100054978</v>
      </c>
      <c r="M36" s="17"/>
      <c r="N36" s="17"/>
      <c r="O36" s="54" t="s">
        <v>51</v>
      </c>
      <c r="P36" s="56">
        <v>-34.083586953510476</v>
      </c>
      <c r="Q36" s="56">
        <v>-28.284361983794067</v>
      </c>
      <c r="R36" s="56">
        <v>-25.712472608387483</v>
      </c>
    </row>
    <row r="37" spans="1:18" ht="16.5" thickBot="1" x14ac:dyDescent="0.3">
      <c r="A37" s="8" t="s">
        <v>26</v>
      </c>
      <c r="B37" s="19" t="s">
        <v>44</v>
      </c>
      <c r="C37" s="1">
        <v>500</v>
      </c>
      <c r="D37" s="31">
        <v>14.6</v>
      </c>
      <c r="E37" s="25">
        <v>109.2</v>
      </c>
      <c r="F37" s="25">
        <v>111.7</v>
      </c>
      <c r="G37" s="25">
        <v>117.5</v>
      </c>
      <c r="H37" s="32">
        <v>39.299999999999997</v>
      </c>
      <c r="I37" s="25">
        <v>-540.70000000000005</v>
      </c>
      <c r="J37" s="56">
        <v>-205.85554621613119</v>
      </c>
      <c r="K37" s="25">
        <v>-34.471122217687402</v>
      </c>
      <c r="L37" s="28">
        <f t="shared" si="0"/>
        <v>-403.32666843381867</v>
      </c>
      <c r="M37" s="17"/>
      <c r="N37" s="17"/>
      <c r="O37" s="54" t="s">
        <v>52</v>
      </c>
      <c r="P37" s="56">
        <v>-38.072734639045578</v>
      </c>
      <c r="Q37" s="56">
        <v>-34.341044880456842</v>
      </c>
      <c r="R37" s="56">
        <v>-30.923430322644474</v>
      </c>
    </row>
    <row r="38" spans="1:18" ht="16.5" thickBot="1" x14ac:dyDescent="0.3">
      <c r="A38" s="8" t="s">
        <v>27</v>
      </c>
      <c r="B38" s="19" t="s">
        <v>45</v>
      </c>
      <c r="C38" s="1">
        <v>0</v>
      </c>
      <c r="D38" s="31">
        <v>16.8</v>
      </c>
      <c r="E38" s="25">
        <v>57.4</v>
      </c>
      <c r="F38" s="25">
        <v>153.69999999999999</v>
      </c>
      <c r="G38" s="25">
        <v>111.8</v>
      </c>
      <c r="H38" s="32">
        <v>34.4</v>
      </c>
      <c r="I38" s="25">
        <v>-503.3</v>
      </c>
      <c r="J38" s="56">
        <v>-114.93345976617873</v>
      </c>
      <c r="K38" s="25">
        <v>-24.700771237145769</v>
      </c>
      <c r="L38" s="28">
        <f t="shared" si="0"/>
        <v>-285.63423100332454</v>
      </c>
      <c r="M38" s="17"/>
      <c r="N38" s="17"/>
      <c r="O38" s="53" t="s">
        <v>54</v>
      </c>
      <c r="P38" s="56">
        <v>-28.497362162039533</v>
      </c>
      <c r="Q38" s="56">
        <v>-24.412380053038373</v>
      </c>
      <c r="R38" s="56">
        <v>-24.019396956062604</v>
      </c>
    </row>
    <row r="39" spans="1:18" ht="16.5" thickBot="1" x14ac:dyDescent="0.3">
      <c r="A39" s="8" t="s">
        <v>27</v>
      </c>
      <c r="B39" s="19" t="s">
        <v>46</v>
      </c>
      <c r="C39" s="1">
        <v>500</v>
      </c>
      <c r="D39" s="31">
        <v>16.5</v>
      </c>
      <c r="E39" s="25">
        <v>44</v>
      </c>
      <c r="F39" s="25">
        <v>126.8</v>
      </c>
      <c r="G39" s="25">
        <v>81.5</v>
      </c>
      <c r="H39" s="32">
        <v>98.2</v>
      </c>
      <c r="I39" s="25">
        <v>-513.79999999999995</v>
      </c>
      <c r="J39" s="56">
        <v>-114.41981063532216</v>
      </c>
      <c r="K39" s="25">
        <v>-26.893191498144255</v>
      </c>
      <c r="L39" s="28">
        <f t="shared" si="0"/>
        <v>-304.61300213346635</v>
      </c>
      <c r="M39" s="17"/>
      <c r="N39" s="17"/>
      <c r="O39" s="53" t="s">
        <v>53</v>
      </c>
      <c r="P39" s="56">
        <v>-30.547359097255672</v>
      </c>
      <c r="Q39" s="56">
        <v>-27.806817627367831</v>
      </c>
      <c r="R39" s="56">
        <v>-23.858640219036239</v>
      </c>
    </row>
    <row r="40" spans="1:18" ht="16.5" thickBot="1" x14ac:dyDescent="0.3">
      <c r="A40" s="9"/>
      <c r="B40" s="1"/>
      <c r="C40" s="7"/>
      <c r="D40" s="25"/>
      <c r="E40" s="25"/>
      <c r="F40" s="25"/>
      <c r="G40" s="25"/>
      <c r="H40" s="25"/>
      <c r="I40" s="25"/>
      <c r="J40" s="25"/>
      <c r="K40" s="25"/>
      <c r="L40" s="28"/>
      <c r="M40" s="17"/>
      <c r="N40" s="17"/>
      <c r="O40" s="54" t="s">
        <v>56</v>
      </c>
      <c r="P40" s="56">
        <v>-47.069207502878029</v>
      </c>
      <c r="Q40" s="56">
        <v>-36.795523237494521</v>
      </c>
      <c r="R40" s="56">
        <v>-37.733384113139998</v>
      </c>
    </row>
    <row r="41" spans="1:18" ht="16.5" thickBot="1" x14ac:dyDescent="0.3">
      <c r="A41" s="6">
        <v>2017</v>
      </c>
      <c r="B41" s="1"/>
      <c r="C41" s="7"/>
      <c r="D41" s="25"/>
      <c r="E41" s="25"/>
      <c r="F41" s="25"/>
      <c r="G41" s="25"/>
      <c r="H41" s="25"/>
      <c r="I41" s="25"/>
      <c r="J41" s="25"/>
      <c r="K41" s="25"/>
      <c r="L41" s="28"/>
      <c r="M41" s="17"/>
      <c r="N41" s="17"/>
      <c r="O41" s="54" t="s">
        <v>55</v>
      </c>
      <c r="P41" s="56">
        <v>-54.571763430273734</v>
      </c>
      <c r="Q41" s="56">
        <v>-46.379922144868743</v>
      </c>
      <c r="R41" s="56">
        <v>-43.186065010440885</v>
      </c>
    </row>
    <row r="42" spans="1:18" ht="16.5" thickBot="1" x14ac:dyDescent="0.3">
      <c r="A42" s="8" t="s">
        <v>22</v>
      </c>
      <c r="B42" s="19" t="s">
        <v>35</v>
      </c>
      <c r="C42" s="1" t="s">
        <v>14</v>
      </c>
      <c r="D42" s="25">
        <v>5</v>
      </c>
      <c r="E42" s="25">
        <v>81.400000000000006</v>
      </c>
      <c r="F42" s="25">
        <v>77</v>
      </c>
      <c r="G42" s="25">
        <v>124.4</v>
      </c>
      <c r="H42" s="26">
        <v>10.7</v>
      </c>
      <c r="I42" s="25">
        <v>-352</v>
      </c>
      <c r="J42" s="55">
        <v>-48.950020925690801</v>
      </c>
      <c r="K42" s="27">
        <v>-33</v>
      </c>
      <c r="L42" s="28">
        <f t="shared" ref="L42:L53" si="1">SUM(E42:K42)</f>
        <v>-140.45002092569081</v>
      </c>
      <c r="M42" s="17"/>
      <c r="N42" s="17"/>
      <c r="O42" s="53" t="s">
        <v>57</v>
      </c>
      <c r="P42" s="56">
        <v>-149.64622752264029</v>
      </c>
      <c r="Q42" s="56">
        <v>-127.83003433147491</v>
      </c>
      <c r="R42" s="56">
        <v>-176.24328493768999</v>
      </c>
    </row>
    <row r="43" spans="1:18" ht="16.5" thickBot="1" x14ac:dyDescent="0.3">
      <c r="A43" s="8" t="s">
        <v>22</v>
      </c>
      <c r="B43" s="19" t="s">
        <v>36</v>
      </c>
      <c r="C43" s="1" t="s">
        <v>14</v>
      </c>
      <c r="D43" s="25">
        <v>5.8</v>
      </c>
      <c r="E43" s="25">
        <v>120.1</v>
      </c>
      <c r="F43" s="25">
        <v>112.8</v>
      </c>
      <c r="G43" s="25">
        <v>265.8</v>
      </c>
      <c r="H43" s="29">
        <v>52.2</v>
      </c>
      <c r="I43" s="25">
        <v>-383.7</v>
      </c>
      <c r="J43" s="56">
        <v>-53.673663785268879</v>
      </c>
      <c r="K43" s="30">
        <v>-33</v>
      </c>
      <c r="L43" s="28">
        <f t="shared" si="1"/>
        <v>80.526336214731117</v>
      </c>
      <c r="M43" s="17"/>
      <c r="N43" s="17"/>
      <c r="O43" s="53" t="s">
        <v>58</v>
      </c>
      <c r="P43" s="56">
        <v>-205.85554621613119</v>
      </c>
      <c r="Q43" s="56">
        <v>-205.08003688006468</v>
      </c>
      <c r="R43" s="56">
        <v>-222.68104988486954</v>
      </c>
    </row>
    <row r="44" spans="1:18" ht="16.5" thickBot="1" x14ac:dyDescent="0.3">
      <c r="A44" s="8" t="s">
        <v>23</v>
      </c>
      <c r="B44" s="19" t="s">
        <v>37</v>
      </c>
      <c r="C44" s="1">
        <v>0</v>
      </c>
      <c r="D44" s="31">
        <v>6.8</v>
      </c>
      <c r="E44" s="25">
        <v>58.5</v>
      </c>
      <c r="F44" s="25">
        <v>142.5</v>
      </c>
      <c r="G44" s="25">
        <v>101.8</v>
      </c>
      <c r="H44" s="29">
        <v>71.900000000000006</v>
      </c>
      <c r="I44" s="25">
        <v>-322.10000000000002</v>
      </c>
      <c r="J44" s="56">
        <v>-28.284361983794067</v>
      </c>
      <c r="K44" s="25">
        <v>-28.23000401418134</v>
      </c>
      <c r="L44" s="28">
        <f t="shared" si="1"/>
        <v>-3.9143659979753842</v>
      </c>
      <c r="M44" s="17"/>
      <c r="N44" s="17"/>
      <c r="O44" s="54" t="s">
        <v>60</v>
      </c>
      <c r="P44" s="56">
        <v>-114.93345976617873</v>
      </c>
      <c r="Q44" s="56">
        <v>-86.619773992798656</v>
      </c>
      <c r="R44" s="56">
        <v>-99.202508274661653</v>
      </c>
    </row>
    <row r="45" spans="1:18" ht="16.5" thickBot="1" x14ac:dyDescent="0.3">
      <c r="A45" s="8" t="s">
        <v>23</v>
      </c>
      <c r="B45" s="19" t="s">
        <v>38</v>
      </c>
      <c r="C45" s="1">
        <v>500</v>
      </c>
      <c r="D45" s="31">
        <v>6.5</v>
      </c>
      <c r="E45" s="25">
        <v>130.5</v>
      </c>
      <c r="F45" s="25">
        <v>154.4</v>
      </c>
      <c r="G45" s="25">
        <v>118.5</v>
      </c>
      <c r="H45" s="29">
        <v>17.600000000000001</v>
      </c>
      <c r="I45" s="25">
        <v>-353.4</v>
      </c>
      <c r="J45" s="56">
        <v>-34.341044880456842</v>
      </c>
      <c r="K45" s="25">
        <v>-23.95990510010266</v>
      </c>
      <c r="L45" s="28">
        <f t="shared" si="1"/>
        <v>9.2990500194405215</v>
      </c>
      <c r="M45" s="17"/>
      <c r="N45" s="17"/>
      <c r="O45" s="54" t="s">
        <v>59</v>
      </c>
      <c r="P45" s="56">
        <v>-114.41981063532216</v>
      </c>
      <c r="Q45" s="56">
        <v>-87.525789872695256</v>
      </c>
      <c r="R45" s="56">
        <v>-83.257924457440453</v>
      </c>
    </row>
    <row r="46" spans="1:18" ht="16.5" thickBot="1" x14ac:dyDescent="0.3">
      <c r="A46" s="8" t="s">
        <v>24</v>
      </c>
      <c r="B46" s="19" t="s">
        <v>39</v>
      </c>
      <c r="C46" s="1">
        <v>0</v>
      </c>
      <c r="D46" s="31">
        <v>9.1999999999999993</v>
      </c>
      <c r="E46" s="25">
        <v>170.6</v>
      </c>
      <c r="F46" s="25">
        <v>90.2</v>
      </c>
      <c r="G46" s="25">
        <v>119.6</v>
      </c>
      <c r="H46" s="29">
        <v>73.599999999999994</v>
      </c>
      <c r="I46" s="25">
        <v>-411.4</v>
      </c>
      <c r="J46" s="56">
        <v>-24.412380053038373</v>
      </c>
      <c r="K46" s="25">
        <v>-34.251367592146195</v>
      </c>
      <c r="L46" s="28">
        <f t="shared" si="1"/>
        <v>-16.063747645184545</v>
      </c>
      <c r="M46" s="17"/>
      <c r="N46" s="17"/>
    </row>
    <row r="47" spans="1:18" ht="16.5" thickBot="1" x14ac:dyDescent="0.3">
      <c r="A47" s="8" t="s">
        <v>24</v>
      </c>
      <c r="B47" s="19" t="s">
        <v>40</v>
      </c>
      <c r="C47" s="1">
        <v>500</v>
      </c>
      <c r="D47" s="31">
        <v>9.1999999999999993</v>
      </c>
      <c r="E47" s="25">
        <v>85.7</v>
      </c>
      <c r="F47" s="25">
        <v>83</v>
      </c>
      <c r="G47" s="25">
        <v>59.6</v>
      </c>
      <c r="H47" s="29">
        <v>48.7</v>
      </c>
      <c r="I47" s="25">
        <v>-373</v>
      </c>
      <c r="J47" s="56">
        <v>-27.806817627367831</v>
      </c>
      <c r="K47" s="25">
        <v>-18.541752385102555</v>
      </c>
      <c r="L47" s="28">
        <f t="shared" si="1"/>
        <v>-142.34857001247039</v>
      </c>
      <c r="M47" s="17"/>
      <c r="N47" s="17"/>
    </row>
    <row r="48" spans="1:18" ht="16.5" thickBot="1" x14ac:dyDescent="0.3">
      <c r="A48" s="8" t="s">
        <v>25</v>
      </c>
      <c r="B48" s="19" t="s">
        <v>41</v>
      </c>
      <c r="C48" s="1">
        <v>0</v>
      </c>
      <c r="D48" s="31">
        <v>11.2</v>
      </c>
      <c r="E48" s="25">
        <v>57.3</v>
      </c>
      <c r="F48" s="25">
        <v>112.8</v>
      </c>
      <c r="G48" s="25">
        <v>94</v>
      </c>
      <c r="H48" s="29">
        <v>85.7</v>
      </c>
      <c r="I48" s="25">
        <v>-397.5</v>
      </c>
      <c r="J48" s="56">
        <v>-36.795523237494521</v>
      </c>
      <c r="K48" s="25">
        <v>-24.403030146856185</v>
      </c>
      <c r="L48" s="28">
        <f t="shared" si="1"/>
        <v>-108.89855338435069</v>
      </c>
      <c r="M48" s="17"/>
      <c r="N48" s="17"/>
    </row>
    <row r="49" spans="1:14" ht="16.5" thickBot="1" x14ac:dyDescent="0.3">
      <c r="A49" s="8" t="s">
        <v>25</v>
      </c>
      <c r="B49" s="19" t="s">
        <v>42</v>
      </c>
      <c r="C49" s="1">
        <v>500</v>
      </c>
      <c r="D49" s="31">
        <v>11.3</v>
      </c>
      <c r="E49" s="25">
        <v>56</v>
      </c>
      <c r="F49" s="25">
        <v>169.9</v>
      </c>
      <c r="G49" s="25">
        <v>23.9</v>
      </c>
      <c r="H49" s="29">
        <v>108.8</v>
      </c>
      <c r="I49" s="25">
        <v>-453.3</v>
      </c>
      <c r="J49" s="56">
        <v>-46.379922144868743</v>
      </c>
      <c r="K49" s="25">
        <v>-37.930543336553342</v>
      </c>
      <c r="L49" s="28">
        <f t="shared" si="1"/>
        <v>-179.01046548142207</v>
      </c>
      <c r="M49" s="17"/>
      <c r="N49" s="17"/>
    </row>
    <row r="50" spans="1:14" ht="16.5" thickBot="1" x14ac:dyDescent="0.3">
      <c r="A50" s="8" t="s">
        <v>26</v>
      </c>
      <c r="B50" s="19" t="s">
        <v>43</v>
      </c>
      <c r="C50" s="1">
        <v>0</v>
      </c>
      <c r="D50" s="31">
        <v>13.3</v>
      </c>
      <c r="E50" s="25">
        <v>88.4</v>
      </c>
      <c r="F50" s="25">
        <v>107.3</v>
      </c>
      <c r="G50" s="25">
        <v>53.6</v>
      </c>
      <c r="H50" s="29">
        <v>75.099999999999994</v>
      </c>
      <c r="I50" s="25">
        <v>-479.6</v>
      </c>
      <c r="J50" s="56">
        <v>-127.83003433147491</v>
      </c>
      <c r="K50" s="25">
        <v>-35.392852287212932</v>
      </c>
      <c r="L50" s="28">
        <f t="shared" si="1"/>
        <v>-318.42288661868787</v>
      </c>
      <c r="M50" s="17"/>
      <c r="N50" s="17"/>
    </row>
    <row r="51" spans="1:14" ht="16.5" thickBot="1" x14ac:dyDescent="0.3">
      <c r="A51" s="8" t="s">
        <v>26</v>
      </c>
      <c r="B51" s="19" t="s">
        <v>44</v>
      </c>
      <c r="C51" s="1">
        <v>500</v>
      </c>
      <c r="D51" s="31">
        <v>13.4</v>
      </c>
      <c r="E51" s="25">
        <v>95.1</v>
      </c>
      <c r="F51" s="25">
        <v>142.9</v>
      </c>
      <c r="G51" s="25">
        <v>70.900000000000006</v>
      </c>
      <c r="H51" s="29">
        <v>150.80000000000001</v>
      </c>
      <c r="I51" s="25">
        <v>-520.79999999999995</v>
      </c>
      <c r="J51" s="56">
        <v>-205.08003688006468</v>
      </c>
      <c r="K51" s="25">
        <v>-20.724991792592782</v>
      </c>
      <c r="L51" s="28">
        <f t="shared" si="1"/>
        <v>-286.90502867265747</v>
      </c>
      <c r="M51" s="17"/>
      <c r="N51" s="17"/>
    </row>
    <row r="52" spans="1:14" ht="16.5" thickBot="1" x14ac:dyDescent="0.3">
      <c r="A52" s="8" t="s">
        <v>27</v>
      </c>
      <c r="B52" s="19" t="s">
        <v>45</v>
      </c>
      <c r="C52" s="1">
        <v>0</v>
      </c>
      <c r="D52" s="31">
        <v>15.5</v>
      </c>
      <c r="E52" s="25">
        <v>32.700000000000003</v>
      </c>
      <c r="F52" s="25">
        <v>101.8</v>
      </c>
      <c r="G52" s="25">
        <v>25.5</v>
      </c>
      <c r="H52" s="29">
        <v>163.6</v>
      </c>
      <c r="I52" s="25">
        <v>-474.6</v>
      </c>
      <c r="J52" s="56">
        <v>-86.619773992798656</v>
      </c>
      <c r="K52" s="25">
        <v>-10.787728208810243</v>
      </c>
      <c r="L52" s="28">
        <f t="shared" si="1"/>
        <v>-248.40750220160891</v>
      </c>
      <c r="M52" s="17"/>
      <c r="N52" s="17"/>
    </row>
    <row r="53" spans="1:14" ht="16.5" thickBot="1" x14ac:dyDescent="0.3">
      <c r="A53" s="8" t="s">
        <v>27</v>
      </c>
      <c r="B53" s="19" t="s">
        <v>46</v>
      </c>
      <c r="C53" s="1">
        <v>500</v>
      </c>
      <c r="D53" s="31">
        <v>15.4</v>
      </c>
      <c r="E53" s="25">
        <v>58.1</v>
      </c>
      <c r="F53" s="25">
        <v>253.4</v>
      </c>
      <c r="G53" s="25">
        <v>14.6</v>
      </c>
      <c r="H53" s="29">
        <v>134.30000000000001</v>
      </c>
      <c r="I53" s="25">
        <v>-490.6</v>
      </c>
      <c r="J53" s="56">
        <v>-87.525789872695256</v>
      </c>
      <c r="K53" s="25">
        <v>-17.913818949352407</v>
      </c>
      <c r="L53" s="28">
        <f t="shared" si="1"/>
        <v>-135.63960882204765</v>
      </c>
      <c r="M53" s="17"/>
      <c r="N53" s="17"/>
    </row>
    <row r="54" spans="1:14" ht="16.5" thickBot="1" x14ac:dyDescent="0.3">
      <c r="A54" s="6"/>
      <c r="B54" s="1"/>
      <c r="C54" s="7"/>
      <c r="D54" s="25"/>
      <c r="E54" s="25"/>
      <c r="F54" s="25"/>
      <c r="G54" s="25"/>
      <c r="H54" s="25"/>
      <c r="I54" s="25"/>
      <c r="J54" s="25"/>
      <c r="K54" s="25"/>
      <c r="L54" s="28"/>
      <c r="M54" s="17"/>
      <c r="N54" s="17"/>
    </row>
    <row r="55" spans="1:14" ht="16.5" thickBot="1" x14ac:dyDescent="0.3">
      <c r="A55" s="6">
        <v>2018</v>
      </c>
      <c r="B55" s="1"/>
      <c r="C55" s="7"/>
      <c r="D55" s="25"/>
      <c r="E55" s="25"/>
      <c r="F55" s="25"/>
      <c r="G55" s="25"/>
      <c r="H55" s="25"/>
      <c r="I55" s="25"/>
      <c r="J55" s="25"/>
      <c r="K55" s="25"/>
      <c r="L55" s="28"/>
      <c r="M55" s="17"/>
      <c r="N55" s="17"/>
    </row>
    <row r="56" spans="1:14" ht="16.5" thickBot="1" x14ac:dyDescent="0.3">
      <c r="A56" s="8" t="s">
        <v>22</v>
      </c>
      <c r="B56" s="19" t="s">
        <v>35</v>
      </c>
      <c r="C56" s="1" t="s">
        <v>14</v>
      </c>
      <c r="D56" s="25">
        <v>4</v>
      </c>
      <c r="E56" s="25">
        <v>68.5</v>
      </c>
      <c r="F56" s="25">
        <v>91.4</v>
      </c>
      <c r="G56" s="25">
        <v>140</v>
      </c>
      <c r="H56" s="33">
        <f>AVERAGE(H28,H42)</f>
        <v>10.050000000000001</v>
      </c>
      <c r="I56" s="34">
        <v>-356.9</v>
      </c>
      <c r="J56" s="55">
        <v>-52.469029368593937</v>
      </c>
      <c r="K56" s="35">
        <v>-33</v>
      </c>
      <c r="L56" s="28">
        <f t="shared" ref="L56:L67" si="2">SUM(E56:K56)</f>
        <v>-132.41902936859393</v>
      </c>
      <c r="M56" s="17"/>
      <c r="N56" s="17"/>
    </row>
    <row r="57" spans="1:14" ht="16.5" thickBot="1" x14ac:dyDescent="0.3">
      <c r="A57" s="8" t="s">
        <v>22</v>
      </c>
      <c r="B57" s="19" t="s">
        <v>36</v>
      </c>
      <c r="C57" s="1" t="s">
        <v>14</v>
      </c>
      <c r="D57" s="25">
        <v>4.4000000000000004</v>
      </c>
      <c r="E57" s="25">
        <v>104.9</v>
      </c>
      <c r="F57" s="25">
        <v>79.3</v>
      </c>
      <c r="G57" s="25">
        <v>140</v>
      </c>
      <c r="H57" s="33">
        <f t="shared" ref="H57:H67" si="3">AVERAGE(H29,H43)</f>
        <v>46.75</v>
      </c>
      <c r="I57" s="34">
        <v>-371.3</v>
      </c>
      <c r="J57" s="56">
        <v>-52.812598773037053</v>
      </c>
      <c r="K57" s="35">
        <v>-33</v>
      </c>
      <c r="L57" s="28">
        <f t="shared" si="2"/>
        <v>-86.162598773037075</v>
      </c>
      <c r="M57" s="17"/>
      <c r="N57" s="17"/>
    </row>
    <row r="58" spans="1:14" ht="16.5" thickBot="1" x14ac:dyDescent="0.3">
      <c r="A58" s="8" t="s">
        <v>23</v>
      </c>
      <c r="B58" s="19" t="s">
        <v>37</v>
      </c>
      <c r="C58" s="1">
        <v>0</v>
      </c>
      <c r="D58" s="31">
        <v>6.4</v>
      </c>
      <c r="E58" s="25">
        <v>46.1</v>
      </c>
      <c r="F58" s="25">
        <v>97.6</v>
      </c>
      <c r="G58" s="25">
        <v>204.5</v>
      </c>
      <c r="H58" s="33">
        <f t="shared" si="3"/>
        <v>67.7</v>
      </c>
      <c r="I58" s="25">
        <v>-324.10000000000002</v>
      </c>
      <c r="J58" s="56">
        <v>-25.712472608387483</v>
      </c>
      <c r="K58" s="25">
        <v>-32.334302763100254</v>
      </c>
      <c r="L58" s="28">
        <f t="shared" si="2"/>
        <v>33.753224628512214</v>
      </c>
      <c r="M58" s="17"/>
      <c r="N58" s="17"/>
    </row>
    <row r="59" spans="1:14" ht="16.5" thickBot="1" x14ac:dyDescent="0.3">
      <c r="A59" s="8" t="s">
        <v>23</v>
      </c>
      <c r="B59" s="19" t="s">
        <v>38</v>
      </c>
      <c r="C59" s="1">
        <v>500</v>
      </c>
      <c r="D59" s="31">
        <v>6</v>
      </c>
      <c r="E59" s="25">
        <v>98.5</v>
      </c>
      <c r="F59" s="25">
        <v>111.3</v>
      </c>
      <c r="G59" s="25">
        <v>81.8</v>
      </c>
      <c r="H59" s="33">
        <f t="shared" si="3"/>
        <v>25.75</v>
      </c>
      <c r="I59" s="25">
        <v>-327.39999999999998</v>
      </c>
      <c r="J59" s="56">
        <v>-30.923430322644474</v>
      </c>
      <c r="K59" s="25">
        <v>-23.974115088209597</v>
      </c>
      <c r="L59" s="28">
        <f t="shared" si="2"/>
        <v>-64.947545410854033</v>
      </c>
      <c r="M59" s="17"/>
      <c r="N59" s="17"/>
    </row>
    <row r="60" spans="1:14" ht="16.5" thickBot="1" x14ac:dyDescent="0.3">
      <c r="A60" s="8" t="s">
        <v>24</v>
      </c>
      <c r="B60" s="19" t="s">
        <v>39</v>
      </c>
      <c r="C60" s="1">
        <v>0</v>
      </c>
      <c r="D60" s="31">
        <v>8.5</v>
      </c>
      <c r="E60" s="25">
        <v>155.30000000000001</v>
      </c>
      <c r="F60" s="25">
        <v>59.2</v>
      </c>
      <c r="G60" s="25">
        <v>190.9</v>
      </c>
      <c r="H60" s="33">
        <f t="shared" si="3"/>
        <v>90.6</v>
      </c>
      <c r="I60" s="25">
        <v>-386.9</v>
      </c>
      <c r="J60" s="56">
        <v>-24.019396956062604</v>
      </c>
      <c r="K60" s="25">
        <v>-56.469654834192959</v>
      </c>
      <c r="L60" s="28">
        <f t="shared" si="2"/>
        <v>28.610948209744457</v>
      </c>
      <c r="M60" s="17"/>
      <c r="N60" s="17"/>
    </row>
    <row r="61" spans="1:14" ht="16.5" thickBot="1" x14ac:dyDescent="0.3">
      <c r="A61" s="8" t="s">
        <v>24</v>
      </c>
      <c r="B61" s="19" t="s">
        <v>40</v>
      </c>
      <c r="C61" s="1">
        <v>500</v>
      </c>
      <c r="D61" s="31">
        <v>8.6999999999999993</v>
      </c>
      <c r="E61" s="25">
        <v>69.8</v>
      </c>
      <c r="F61" s="25">
        <v>100.9</v>
      </c>
      <c r="G61" s="25">
        <v>114</v>
      </c>
      <c r="H61" s="33">
        <f t="shared" si="3"/>
        <v>38.549999999999997</v>
      </c>
      <c r="I61" s="25">
        <v>-382</v>
      </c>
      <c r="J61" s="56">
        <v>-23.858640219036239</v>
      </c>
      <c r="K61" s="25">
        <v>-28.689739139191527</v>
      </c>
      <c r="L61" s="28">
        <f t="shared" si="2"/>
        <v>-111.29837935822776</v>
      </c>
      <c r="M61" s="17"/>
      <c r="N61" s="17"/>
    </row>
    <row r="62" spans="1:14" ht="16.5" thickBot="1" x14ac:dyDescent="0.3">
      <c r="A62" s="8" t="s">
        <v>25</v>
      </c>
      <c r="B62" s="19" t="s">
        <v>41</v>
      </c>
      <c r="C62" s="1">
        <v>0</v>
      </c>
      <c r="D62" s="31">
        <v>10.9</v>
      </c>
      <c r="E62" s="25">
        <v>66.099999999999994</v>
      </c>
      <c r="F62" s="25">
        <v>105.4</v>
      </c>
      <c r="G62" s="25">
        <v>84.6</v>
      </c>
      <c r="H62" s="33">
        <f t="shared" si="3"/>
        <v>87.050000000000011</v>
      </c>
      <c r="I62" s="25">
        <v>-390.6</v>
      </c>
      <c r="J62" s="56">
        <v>-37.733384113139998</v>
      </c>
      <c r="K62" s="25">
        <v>-32.369235415335815</v>
      </c>
      <c r="L62" s="28">
        <f t="shared" si="2"/>
        <v>-117.55261952847582</v>
      </c>
      <c r="M62" s="17"/>
      <c r="N62" s="17"/>
    </row>
    <row r="63" spans="1:14" ht="16.5" thickBot="1" x14ac:dyDescent="0.3">
      <c r="A63" s="8" t="s">
        <v>25</v>
      </c>
      <c r="B63" s="19" t="s">
        <v>42</v>
      </c>
      <c r="C63" s="1">
        <v>500</v>
      </c>
      <c r="D63" s="31">
        <v>10.8</v>
      </c>
      <c r="E63" s="25">
        <v>54.7</v>
      </c>
      <c r="F63" s="25">
        <v>114.7</v>
      </c>
      <c r="G63" s="25">
        <v>29.1</v>
      </c>
      <c r="H63" s="33">
        <f t="shared" si="3"/>
        <v>106.85</v>
      </c>
      <c r="I63" s="25">
        <v>-456.8</v>
      </c>
      <c r="J63" s="56">
        <v>-43.186065010440885</v>
      </c>
      <c r="K63" s="25">
        <v>-51.439929359110508</v>
      </c>
      <c r="L63" s="28">
        <f t="shared" si="2"/>
        <v>-246.07599436955138</v>
      </c>
      <c r="M63" s="17"/>
      <c r="N63" s="17"/>
    </row>
    <row r="64" spans="1:14" ht="16.5" thickBot="1" x14ac:dyDescent="0.3">
      <c r="A64" s="8" t="s">
        <v>26</v>
      </c>
      <c r="B64" s="19" t="s">
        <v>43</v>
      </c>
      <c r="C64" s="1">
        <v>0</v>
      </c>
      <c r="D64" s="31">
        <v>13</v>
      </c>
      <c r="E64" s="25">
        <v>83.4</v>
      </c>
      <c r="F64" s="25">
        <v>171.2</v>
      </c>
      <c r="G64" s="25">
        <v>42.5</v>
      </c>
      <c r="H64" s="33">
        <f t="shared" si="3"/>
        <v>90.3</v>
      </c>
      <c r="I64" s="25">
        <v>-471.7</v>
      </c>
      <c r="J64" s="56">
        <v>-176.24328493768999</v>
      </c>
      <c r="K64" s="25">
        <v>-52.388580142736679</v>
      </c>
      <c r="L64" s="28">
        <f t="shared" si="2"/>
        <v>-312.93186508042658</v>
      </c>
      <c r="M64" s="17"/>
      <c r="N64" s="17"/>
    </row>
    <row r="65" spans="1:14" ht="16.5" thickBot="1" x14ac:dyDescent="0.3">
      <c r="A65" s="8" t="s">
        <v>26</v>
      </c>
      <c r="B65" s="19" t="s">
        <v>44</v>
      </c>
      <c r="C65" s="1">
        <v>500</v>
      </c>
      <c r="D65" s="31">
        <v>12.9</v>
      </c>
      <c r="E65" s="25">
        <v>92.2</v>
      </c>
      <c r="F65" s="25">
        <v>100.3</v>
      </c>
      <c r="G65" s="25">
        <v>29.2</v>
      </c>
      <c r="H65" s="33">
        <f t="shared" si="3"/>
        <v>95.050000000000011</v>
      </c>
      <c r="I65" s="25">
        <v>-510.6</v>
      </c>
      <c r="J65" s="56">
        <v>-222.68104988486954</v>
      </c>
      <c r="K65" s="25">
        <v>-36.747732065994562</v>
      </c>
      <c r="L65" s="28">
        <f t="shared" si="2"/>
        <v>-453.27878195086413</v>
      </c>
      <c r="M65" s="17"/>
      <c r="N65" s="17"/>
    </row>
    <row r="66" spans="1:14" ht="16.5" thickBot="1" x14ac:dyDescent="0.3">
      <c r="A66" s="8" t="s">
        <v>27</v>
      </c>
      <c r="B66" s="19" t="s">
        <v>45</v>
      </c>
      <c r="C66" s="1">
        <v>0</v>
      </c>
      <c r="D66" s="31">
        <v>15</v>
      </c>
      <c r="E66" s="25">
        <v>48.3</v>
      </c>
      <c r="F66" s="25">
        <v>103.4</v>
      </c>
      <c r="G66" s="25">
        <v>13.2</v>
      </c>
      <c r="H66" s="33">
        <f t="shared" si="3"/>
        <v>99</v>
      </c>
      <c r="I66" s="25">
        <v>-467.4</v>
      </c>
      <c r="J66" s="56">
        <v>-99.202508274661653</v>
      </c>
      <c r="K66" s="25">
        <v>-41.744611078699023</v>
      </c>
      <c r="L66" s="28">
        <f t="shared" si="2"/>
        <v>-344.44711935336068</v>
      </c>
      <c r="M66" s="17"/>
      <c r="N66" s="17"/>
    </row>
    <row r="67" spans="1:14" ht="16.5" thickBot="1" x14ac:dyDescent="0.3">
      <c r="A67" s="8" t="s">
        <v>27</v>
      </c>
      <c r="B67" s="19" t="s">
        <v>46</v>
      </c>
      <c r="C67" s="1">
        <v>500</v>
      </c>
      <c r="D67" s="31">
        <v>15.1</v>
      </c>
      <c r="E67" s="25">
        <v>59.6</v>
      </c>
      <c r="F67" s="25">
        <v>140.6</v>
      </c>
      <c r="G67" s="25">
        <v>46.9</v>
      </c>
      <c r="H67" s="33">
        <f t="shared" si="3"/>
        <v>116.25</v>
      </c>
      <c r="I67" s="25">
        <v>-481.3</v>
      </c>
      <c r="J67" s="56">
        <v>-83.257924457440453</v>
      </c>
      <c r="K67" s="25">
        <v>-30.869889526585947</v>
      </c>
      <c r="L67" s="28">
        <f t="shared" si="2"/>
        <v>-232.07781398402639</v>
      </c>
      <c r="M67" s="17"/>
      <c r="N67" s="17"/>
    </row>
    <row r="68" spans="1:14" ht="16.5" thickBot="1" x14ac:dyDescent="0.3">
      <c r="A68" s="17"/>
      <c r="B68" s="17"/>
      <c r="C68" s="17"/>
      <c r="D68" s="36"/>
      <c r="E68" s="36"/>
      <c r="F68" s="36"/>
      <c r="G68" s="36"/>
      <c r="H68" s="37"/>
      <c r="I68" s="36"/>
      <c r="J68" s="36"/>
      <c r="K68" s="36"/>
      <c r="L68" s="36"/>
      <c r="M68" s="17"/>
      <c r="N68" s="17"/>
    </row>
    <row r="69" spans="1:14" ht="16.5" thickBot="1" x14ac:dyDescent="0.3">
      <c r="A69" s="6">
        <v>2019</v>
      </c>
      <c r="B69" s="1"/>
      <c r="C69" s="7"/>
      <c r="D69" s="38"/>
      <c r="E69" s="25"/>
      <c r="F69" s="38"/>
      <c r="G69" s="25"/>
      <c r="H69" s="25"/>
      <c r="I69" s="25"/>
      <c r="J69" s="38"/>
      <c r="K69" s="25"/>
      <c r="L69" s="28"/>
      <c r="M69" s="17"/>
      <c r="N69" s="17"/>
    </row>
    <row r="70" spans="1:14" ht="16.5" thickBot="1" x14ac:dyDescent="0.3">
      <c r="A70" s="8" t="s">
        <v>22</v>
      </c>
      <c r="B70" s="19" t="s">
        <v>35</v>
      </c>
      <c r="C70" s="15" t="s">
        <v>14</v>
      </c>
      <c r="D70" s="39">
        <v>3.8116666681723061</v>
      </c>
      <c r="E70" s="40">
        <v>86.4</v>
      </c>
      <c r="F70" s="39">
        <v>84.910791993037407</v>
      </c>
      <c r="G70" s="35">
        <v>140</v>
      </c>
      <c r="H70" s="41">
        <f>AVERAGE(H42,H56)</f>
        <v>10.375</v>
      </c>
      <c r="I70" s="42">
        <v>-305.88129603310182</v>
      </c>
      <c r="J70" s="43">
        <v>-43.366653986991764</v>
      </c>
      <c r="K70" s="35">
        <v>-30</v>
      </c>
      <c r="L70" s="44">
        <f t="shared" ref="L70:L81" si="4">SUM(E70:K70)</f>
        <v>-57.562158027056171</v>
      </c>
      <c r="M70" s="17"/>
      <c r="N70" s="17"/>
    </row>
    <row r="71" spans="1:14" ht="16.5" thickBot="1" x14ac:dyDescent="0.3">
      <c r="A71" s="8" t="s">
        <v>22</v>
      </c>
      <c r="B71" s="19" t="s">
        <v>36</v>
      </c>
      <c r="C71" s="15" t="s">
        <v>14</v>
      </c>
      <c r="D71" s="39">
        <v>3.7393655323830544</v>
      </c>
      <c r="E71" s="40">
        <v>92.8</v>
      </c>
      <c r="F71" s="45">
        <v>108.5113141862489</v>
      </c>
      <c r="G71" s="35">
        <v>140</v>
      </c>
      <c r="H71" s="41">
        <f t="shared" ref="H71:H81" si="5">AVERAGE(H43,H57)</f>
        <v>49.475000000000001</v>
      </c>
      <c r="I71" s="42">
        <v>-327.66916073806044</v>
      </c>
      <c r="J71" s="43">
        <v>-88.999348298468547</v>
      </c>
      <c r="K71" s="35">
        <v>-30</v>
      </c>
      <c r="L71" s="44">
        <f t="shared" si="4"/>
        <v>-55.882194850280101</v>
      </c>
      <c r="M71" s="17"/>
      <c r="N71" s="17"/>
    </row>
    <row r="72" spans="1:14" ht="16.5" thickBot="1" x14ac:dyDescent="0.3">
      <c r="A72" s="8" t="s">
        <v>23</v>
      </c>
      <c r="B72" s="19" t="s">
        <v>37</v>
      </c>
      <c r="C72" s="15">
        <v>0</v>
      </c>
      <c r="D72" s="39">
        <v>5.5852804552969424</v>
      </c>
      <c r="E72" s="40">
        <v>54.2</v>
      </c>
      <c r="F72" s="46">
        <v>44.498694516971277</v>
      </c>
      <c r="G72" s="47">
        <v>198.1</v>
      </c>
      <c r="H72" s="41">
        <f t="shared" si="5"/>
        <v>69.800000000000011</v>
      </c>
      <c r="I72" s="40">
        <v>-347.80529497794441</v>
      </c>
      <c r="J72" s="43">
        <v>-8.847596900926872</v>
      </c>
      <c r="K72" s="25">
        <v>-29.636919280486303</v>
      </c>
      <c r="L72" s="44">
        <f t="shared" si="4"/>
        <v>-19.691116642386284</v>
      </c>
      <c r="M72" s="17"/>
      <c r="N72" s="17"/>
    </row>
    <row r="73" spans="1:14" ht="16.5" thickBot="1" x14ac:dyDescent="0.3">
      <c r="A73" s="8" t="s">
        <v>23</v>
      </c>
      <c r="B73" s="19" t="s">
        <v>38</v>
      </c>
      <c r="C73" s="15">
        <v>500</v>
      </c>
      <c r="D73" s="39">
        <v>4.9921890073716293</v>
      </c>
      <c r="E73" s="40">
        <v>108.8</v>
      </c>
      <c r="F73" s="39">
        <v>74.04960835509138</v>
      </c>
      <c r="G73" s="47">
        <v>135.13999999999999</v>
      </c>
      <c r="H73" s="41">
        <f t="shared" si="5"/>
        <v>21.675000000000001</v>
      </c>
      <c r="I73" s="40">
        <v>-348.45026907019178</v>
      </c>
      <c r="J73" s="43">
        <v>-9.003714575134584</v>
      </c>
      <c r="K73" s="25">
        <v>-14.220214636658394</v>
      </c>
      <c r="L73" s="44">
        <f t="shared" si="4"/>
        <v>-32.009589926893369</v>
      </c>
      <c r="M73" s="17"/>
      <c r="N73" s="17"/>
    </row>
    <row r="74" spans="1:14" ht="16.5" thickBot="1" x14ac:dyDescent="0.3">
      <c r="A74" s="8" t="s">
        <v>24</v>
      </c>
      <c r="B74" s="19" t="s">
        <v>39</v>
      </c>
      <c r="C74" s="15">
        <v>0</v>
      </c>
      <c r="D74" s="39">
        <v>7.6006292855009043</v>
      </c>
      <c r="E74" s="40">
        <v>146.19999999999999</v>
      </c>
      <c r="F74" s="39">
        <v>103.90626631853787</v>
      </c>
      <c r="G74" s="47">
        <v>135.47399999999999</v>
      </c>
      <c r="H74" s="41">
        <f t="shared" si="5"/>
        <v>82.1</v>
      </c>
      <c r="I74" s="40">
        <v>-391.91031581278031</v>
      </c>
      <c r="J74" s="43">
        <v>-36.52990808147095</v>
      </c>
      <c r="K74" s="25">
        <v>-54.610093403441539</v>
      </c>
      <c r="L74" s="44">
        <f t="shared" si="4"/>
        <v>-15.370050979154939</v>
      </c>
      <c r="M74" s="17"/>
      <c r="N74" s="17"/>
    </row>
    <row r="75" spans="1:14" ht="16.5" thickBot="1" x14ac:dyDescent="0.3">
      <c r="A75" s="8" t="s">
        <v>24</v>
      </c>
      <c r="B75" s="19" t="s">
        <v>40</v>
      </c>
      <c r="C75" s="15">
        <v>500</v>
      </c>
      <c r="D75" s="39">
        <v>7.7287962456783106</v>
      </c>
      <c r="E75" s="40">
        <v>88.3</v>
      </c>
      <c r="F75" s="39">
        <v>79.790252393385558</v>
      </c>
      <c r="G75" s="47">
        <v>76.716999999999999</v>
      </c>
      <c r="H75" s="41">
        <f t="shared" si="5"/>
        <v>43.625</v>
      </c>
      <c r="I75" s="40">
        <v>-405.39139586569274</v>
      </c>
      <c r="J75" s="43">
        <v>-33.29294554481077</v>
      </c>
      <c r="K75" s="25">
        <v>-25.872010876568115</v>
      </c>
      <c r="L75" s="44">
        <f t="shared" si="4"/>
        <v>-176.12409989368606</v>
      </c>
      <c r="M75" s="17"/>
      <c r="N75" s="17"/>
    </row>
    <row r="76" spans="1:14" ht="16.5" thickBot="1" x14ac:dyDescent="0.3">
      <c r="A76" s="8" t="s">
        <v>25</v>
      </c>
      <c r="B76" s="19" t="s">
        <v>41</v>
      </c>
      <c r="C76" s="15">
        <v>0</v>
      </c>
      <c r="D76" s="39">
        <v>10.155421440848107</v>
      </c>
      <c r="E76" s="40">
        <v>80.599999999999994</v>
      </c>
      <c r="F76" s="39">
        <v>130.5626631853786</v>
      </c>
      <c r="G76" s="47">
        <v>46.973999999999997</v>
      </c>
      <c r="H76" s="41">
        <f t="shared" si="5"/>
        <v>86.375</v>
      </c>
      <c r="I76" s="40">
        <v>-427.18602650778968</v>
      </c>
      <c r="J76" s="43">
        <v>-91.89586516465161</v>
      </c>
      <c r="K76" s="25">
        <v>-25.85621908368941</v>
      </c>
      <c r="L76" s="44">
        <f t="shared" si="4"/>
        <v>-200.42644757075209</v>
      </c>
      <c r="M76" s="17"/>
      <c r="N76" s="17"/>
    </row>
    <row r="77" spans="1:14" ht="16.5" thickBot="1" x14ac:dyDescent="0.3">
      <c r="A77" s="8" t="s">
        <v>25</v>
      </c>
      <c r="B77" s="19" t="s">
        <v>42</v>
      </c>
      <c r="C77" s="15">
        <v>500</v>
      </c>
      <c r="D77" s="39">
        <v>9.9670640313031207</v>
      </c>
      <c r="E77" s="40">
        <v>86.8</v>
      </c>
      <c r="F77" s="39">
        <v>165.04743255004351</v>
      </c>
      <c r="G77" s="47">
        <v>16.591000000000001</v>
      </c>
      <c r="H77" s="41">
        <f t="shared" si="5"/>
        <v>107.82499999999999</v>
      </c>
      <c r="I77" s="40">
        <v>-381.07052048887448</v>
      </c>
      <c r="J77" s="43">
        <v>-123.7546364347874</v>
      </c>
      <c r="K77" s="25">
        <v>-46.858039699050259</v>
      </c>
      <c r="L77" s="44">
        <f t="shared" si="4"/>
        <v>-175.41976407266867</v>
      </c>
      <c r="M77" s="17"/>
      <c r="N77" s="17"/>
    </row>
    <row r="78" spans="1:14" ht="16.5" thickBot="1" x14ac:dyDescent="0.3">
      <c r="A78" s="8" t="s">
        <v>26</v>
      </c>
      <c r="B78" s="19" t="s">
        <v>43</v>
      </c>
      <c r="C78" s="15">
        <v>0</v>
      </c>
      <c r="D78" s="39">
        <v>12.267073820393003</v>
      </c>
      <c r="E78" s="40">
        <v>85.2</v>
      </c>
      <c r="F78" s="39">
        <v>72.181026979982605</v>
      </c>
      <c r="G78" s="47">
        <v>29.765000000000001</v>
      </c>
      <c r="H78" s="41">
        <f t="shared" si="5"/>
        <v>82.699999999999989</v>
      </c>
      <c r="I78" s="40">
        <v>-427.79328512151426</v>
      </c>
      <c r="J78" s="43">
        <v>-158.78070097955418</v>
      </c>
      <c r="K78" s="25">
        <v>-45.478800120027557</v>
      </c>
      <c r="L78" s="44">
        <f t="shared" si="4"/>
        <v>-362.20675924111345</v>
      </c>
      <c r="M78" s="17"/>
      <c r="N78" s="17"/>
    </row>
    <row r="79" spans="1:14" ht="16.5" thickBot="1" x14ac:dyDescent="0.3">
      <c r="A79" s="8" t="s">
        <v>26</v>
      </c>
      <c r="B79" s="19" t="s">
        <v>44</v>
      </c>
      <c r="C79" s="15">
        <v>500</v>
      </c>
      <c r="D79" s="39">
        <v>12.206851442462563</v>
      </c>
      <c r="E79" s="40">
        <v>100.3</v>
      </c>
      <c r="F79" s="39">
        <v>164.06475195822452</v>
      </c>
      <c r="G79" s="47">
        <v>73.472999999999999</v>
      </c>
      <c r="H79" s="41">
        <f t="shared" si="5"/>
        <v>122.92500000000001</v>
      </c>
      <c r="I79" s="40">
        <v>-468.33270490625478</v>
      </c>
      <c r="J79" s="43">
        <v>-239.79335572821657</v>
      </c>
      <c r="K79" s="25">
        <v>-33.67676244549483</v>
      </c>
      <c r="L79" s="44">
        <f t="shared" si="4"/>
        <v>-281.04007112174162</v>
      </c>
      <c r="M79" s="17"/>
      <c r="N79" s="17"/>
    </row>
    <row r="80" spans="1:14" ht="16.5" thickBot="1" x14ac:dyDescent="0.3">
      <c r="A80" s="8" t="s">
        <v>27</v>
      </c>
      <c r="B80" s="19" t="s">
        <v>45</v>
      </c>
      <c r="C80" s="15">
        <v>0</v>
      </c>
      <c r="D80" s="39">
        <v>14.327673023826563</v>
      </c>
      <c r="E80" s="40">
        <v>51.6</v>
      </c>
      <c r="F80" s="39">
        <v>133.16057441253264</v>
      </c>
      <c r="G80" s="48">
        <v>9.3780000000000001</v>
      </c>
      <c r="H80" s="41">
        <f t="shared" si="5"/>
        <v>131.30000000000001</v>
      </c>
      <c r="I80" s="40">
        <v>-635.0470120012402</v>
      </c>
      <c r="J80" s="43">
        <v>-360.49727783747761</v>
      </c>
      <c r="K80" s="25">
        <v>-35.275504843811895</v>
      </c>
      <c r="L80" s="44">
        <f t="shared" si="4"/>
        <v>-705.38122026999702</v>
      </c>
      <c r="M80" s="17"/>
      <c r="N80" s="17"/>
    </row>
    <row r="81" spans="1:13" ht="16.5" thickBot="1" x14ac:dyDescent="0.3">
      <c r="A81" s="8" t="s">
        <v>27</v>
      </c>
      <c r="B81" s="19" t="s">
        <v>46</v>
      </c>
      <c r="C81" s="15">
        <v>500</v>
      </c>
      <c r="D81" s="39">
        <v>14.311856624712501</v>
      </c>
      <c r="E81" s="40">
        <v>85.7</v>
      </c>
      <c r="F81" s="39">
        <v>159.81375108790255</v>
      </c>
      <c r="G81" s="47">
        <v>7.423</v>
      </c>
      <c r="H81" s="41">
        <f t="shared" si="5"/>
        <v>125.27500000000001</v>
      </c>
      <c r="I81" s="40">
        <v>-608.04994091651565</v>
      </c>
      <c r="J81" s="43">
        <v>-295.76487869689601</v>
      </c>
      <c r="K81" s="25">
        <v>-30.879230007413003</v>
      </c>
      <c r="L81" s="44">
        <f t="shared" si="4"/>
        <v>-556.48229853292207</v>
      </c>
      <c r="M81" s="17"/>
    </row>
    <row r="82" spans="1:13" x14ac:dyDescent="0.25">
      <c r="A82" s="17"/>
      <c r="B82" s="17"/>
      <c r="C82" s="17"/>
      <c r="D82" s="36"/>
      <c r="E82" s="36"/>
      <c r="F82" s="36"/>
      <c r="G82" s="36"/>
      <c r="H82" s="36"/>
      <c r="I82" s="36"/>
      <c r="J82" s="36"/>
      <c r="K82" s="36"/>
      <c r="L82" s="36"/>
      <c r="M82" s="17"/>
    </row>
    <row r="83" spans="1:13" ht="16.5" thickBot="1" x14ac:dyDescent="0.3">
      <c r="A83" s="10">
        <v>2020</v>
      </c>
      <c r="B83" s="11"/>
      <c r="C83" s="12"/>
      <c r="D83" s="49"/>
      <c r="E83" s="31"/>
      <c r="F83" s="31"/>
      <c r="G83" s="31"/>
      <c r="H83" s="31"/>
      <c r="I83" s="31"/>
      <c r="J83" s="31"/>
      <c r="K83" s="31"/>
      <c r="L83" s="50"/>
      <c r="M83" s="17"/>
    </row>
    <row r="84" spans="1:13" ht="16.5" thickBot="1" x14ac:dyDescent="0.3">
      <c r="A84" s="8" t="s">
        <v>22</v>
      </c>
      <c r="B84" s="19" t="s">
        <v>35</v>
      </c>
      <c r="C84" s="15" t="s">
        <v>14</v>
      </c>
      <c r="D84" s="39">
        <v>5.4799633379549251</v>
      </c>
      <c r="E84" s="25">
        <v>84.9</v>
      </c>
      <c r="F84" s="33">
        <f>AVERAGE(F70,F98)</f>
        <v>79.845395996518704</v>
      </c>
      <c r="G84" s="35">
        <v>140</v>
      </c>
      <c r="H84" s="41">
        <f>AVERAGE(H56,H70)</f>
        <v>10.2125</v>
      </c>
      <c r="I84" s="35">
        <v>-318.13270903245382</v>
      </c>
      <c r="J84" s="51">
        <v>-104.32460992622732</v>
      </c>
      <c r="K84" s="35">
        <v>-18</v>
      </c>
      <c r="L84" s="44">
        <f t="shared" ref="L84:L95" si="6">SUM(E84:K84)</f>
        <v>-125.49942296216246</v>
      </c>
      <c r="M84" s="17"/>
    </row>
    <row r="85" spans="1:13" ht="16.5" thickBot="1" x14ac:dyDescent="0.3">
      <c r="A85" s="8" t="s">
        <v>22</v>
      </c>
      <c r="B85" s="19" t="s">
        <v>36</v>
      </c>
      <c r="C85" s="15" t="s">
        <v>14</v>
      </c>
      <c r="D85" s="39">
        <v>5.1961942035049358</v>
      </c>
      <c r="E85" s="25">
        <v>97.5</v>
      </c>
      <c r="F85" s="33">
        <f t="shared" ref="F85:F95" si="7">AVERAGE(F71,F99)</f>
        <v>81.345657093124444</v>
      </c>
      <c r="G85" s="35">
        <v>140</v>
      </c>
      <c r="H85" s="41">
        <f t="shared" ref="H85:H95" si="8">AVERAGE(H57,H71)</f>
        <v>48.112499999999997</v>
      </c>
      <c r="I85" s="35">
        <v>-370.38397115705584</v>
      </c>
      <c r="J85" s="51"/>
      <c r="K85" s="35">
        <v>-18</v>
      </c>
      <c r="L85" s="44">
        <f t="shared" si="6"/>
        <v>-21.425814063931398</v>
      </c>
      <c r="M85" s="17"/>
    </row>
    <row r="86" spans="1:13" ht="16.5" thickBot="1" x14ac:dyDescent="0.3">
      <c r="A86" s="13" t="s">
        <v>23</v>
      </c>
      <c r="B86" s="19" t="s">
        <v>37</v>
      </c>
      <c r="C86" s="14">
        <v>0</v>
      </c>
      <c r="D86" s="39">
        <v>7.051947848179144</v>
      </c>
      <c r="E86" s="31">
        <v>84.1</v>
      </c>
      <c r="F86" s="33">
        <f t="shared" si="7"/>
        <v>81.284347258485639</v>
      </c>
      <c r="G86" s="52">
        <v>148.80000000000001</v>
      </c>
      <c r="H86" s="41">
        <f t="shared" si="8"/>
        <v>68.75</v>
      </c>
      <c r="I86" s="35">
        <v>-364.47738793374907</v>
      </c>
      <c r="J86" s="51">
        <v>-10.062539462103777</v>
      </c>
      <c r="K86" s="25">
        <v>-17.572979784298987</v>
      </c>
      <c r="L86" s="44">
        <f t="shared" si="6"/>
        <v>-9.178559921666162</v>
      </c>
      <c r="M86" s="17"/>
    </row>
    <row r="87" spans="1:13" ht="16.5" thickBot="1" x14ac:dyDescent="0.3">
      <c r="A87" s="13" t="s">
        <v>23</v>
      </c>
      <c r="B87" s="19" t="s">
        <v>38</v>
      </c>
      <c r="C87" s="14">
        <v>500</v>
      </c>
      <c r="D87" s="39">
        <v>6.3368243725190805</v>
      </c>
      <c r="E87" s="31">
        <v>73.3</v>
      </c>
      <c r="F87" s="33">
        <f t="shared" si="7"/>
        <v>76.309804177545686</v>
      </c>
      <c r="G87" s="52">
        <v>116.3</v>
      </c>
      <c r="H87" s="41">
        <f t="shared" si="8"/>
        <v>23.712499999999999</v>
      </c>
      <c r="I87" s="35">
        <v>-382.89880433731622</v>
      </c>
      <c r="J87" s="51">
        <v>-12.055735595951965</v>
      </c>
      <c r="K87" s="25">
        <v>-17.990277766978977</v>
      </c>
      <c r="L87" s="44">
        <f t="shared" si="6"/>
        <v>-123.32251352270148</v>
      </c>
      <c r="M87" s="17"/>
    </row>
    <row r="88" spans="1:13" ht="16.5" thickBot="1" x14ac:dyDescent="0.3">
      <c r="A88" s="13" t="s">
        <v>24</v>
      </c>
      <c r="B88" s="19" t="s">
        <v>39</v>
      </c>
      <c r="C88" s="14">
        <v>0</v>
      </c>
      <c r="D88" s="39">
        <v>9.1067855515877412</v>
      </c>
      <c r="E88" s="31">
        <v>170.3</v>
      </c>
      <c r="F88" s="33">
        <f t="shared" si="7"/>
        <v>78.138133159268932</v>
      </c>
      <c r="G88" s="52">
        <v>134.80000000000001</v>
      </c>
      <c r="H88" s="41">
        <f t="shared" si="8"/>
        <v>86.35</v>
      </c>
      <c r="I88" s="35">
        <v>-425.60797436243774</v>
      </c>
      <c r="J88" s="51">
        <v>-45.73916247191945</v>
      </c>
      <c r="K88" s="25">
        <v>-37.647432409016503</v>
      </c>
      <c r="L88" s="44">
        <f t="shared" si="6"/>
        <v>-39.406436084104719</v>
      </c>
      <c r="M88" s="17"/>
    </row>
    <row r="89" spans="1:13" ht="16.5" thickBot="1" x14ac:dyDescent="0.3">
      <c r="A89" s="13" t="s">
        <v>24</v>
      </c>
      <c r="B89" s="19" t="s">
        <v>40</v>
      </c>
      <c r="C89" s="14">
        <v>500</v>
      </c>
      <c r="D89" s="39">
        <v>9.1209379744968366</v>
      </c>
      <c r="E89" s="31">
        <v>87.5</v>
      </c>
      <c r="F89" s="33">
        <f t="shared" si="7"/>
        <v>80.490126196692785</v>
      </c>
      <c r="G89" s="52">
        <v>82.7</v>
      </c>
      <c r="H89" s="41">
        <f t="shared" si="8"/>
        <v>41.087499999999999</v>
      </c>
      <c r="I89" s="35">
        <v>-439.94608201762236</v>
      </c>
      <c r="J89" s="51">
        <v>-47.006136786484987</v>
      </c>
      <c r="K89" s="25">
        <v>-19.913044746890129</v>
      </c>
      <c r="L89" s="44">
        <f t="shared" si="6"/>
        <v>-215.08763735430472</v>
      </c>
      <c r="M89" s="17"/>
    </row>
    <row r="90" spans="1:13" ht="16.5" thickBot="1" x14ac:dyDescent="0.3">
      <c r="A90" s="13" t="s">
        <v>25</v>
      </c>
      <c r="B90" s="19" t="s">
        <v>41</v>
      </c>
      <c r="C90" s="14">
        <v>0</v>
      </c>
      <c r="D90" s="39">
        <v>11.637227059119049</v>
      </c>
      <c r="E90" s="31">
        <v>79.599999999999994</v>
      </c>
      <c r="F90" s="33">
        <f t="shared" si="7"/>
        <v>125.2813315926893</v>
      </c>
      <c r="G90" s="52">
        <v>62.5</v>
      </c>
      <c r="H90" s="41">
        <f t="shared" si="8"/>
        <v>86.712500000000006</v>
      </c>
      <c r="I90" s="35">
        <v>-471.95824567686736</v>
      </c>
      <c r="J90" s="51">
        <v>-136.95346213522711</v>
      </c>
      <c r="K90" s="25">
        <v>-17.832739334691688</v>
      </c>
      <c r="L90" s="44">
        <f t="shared" si="6"/>
        <v>-272.65061555409687</v>
      </c>
      <c r="M90" s="17"/>
    </row>
    <row r="91" spans="1:13" ht="16.5" thickBot="1" x14ac:dyDescent="0.3">
      <c r="A91" s="13" t="s">
        <v>25</v>
      </c>
      <c r="B91" s="19" t="s">
        <v>42</v>
      </c>
      <c r="C91" s="14">
        <v>500</v>
      </c>
      <c r="D91" s="39">
        <v>11.492997622844964</v>
      </c>
      <c r="E91" s="31">
        <v>43.6</v>
      </c>
      <c r="F91" s="33">
        <f t="shared" si="7"/>
        <v>168.83871627502174</v>
      </c>
      <c r="G91" s="52">
        <v>4.8</v>
      </c>
      <c r="H91" s="41">
        <f t="shared" si="8"/>
        <v>107.33749999999999</v>
      </c>
      <c r="I91" s="35">
        <v>-422.76175505563793</v>
      </c>
      <c r="J91" s="51">
        <v>-190.10884560279183</v>
      </c>
      <c r="K91" s="25">
        <v>-28.052884237128513</v>
      </c>
      <c r="L91" s="44">
        <f t="shared" si="6"/>
        <v>-316.34726862053651</v>
      </c>
      <c r="M91" s="17"/>
    </row>
    <row r="92" spans="1:13" ht="16.5" thickBot="1" x14ac:dyDescent="0.3">
      <c r="A92" s="13" t="s">
        <v>26</v>
      </c>
      <c r="B92" s="19" t="s">
        <v>43</v>
      </c>
      <c r="C92" s="14">
        <v>0</v>
      </c>
      <c r="D92" s="39">
        <v>13.865411286866646</v>
      </c>
      <c r="E92" s="31">
        <v>133.9</v>
      </c>
      <c r="F92" s="33">
        <f t="shared" si="7"/>
        <v>90.215513489991309</v>
      </c>
      <c r="G92" s="52">
        <v>9.6999999999999993</v>
      </c>
      <c r="H92" s="41">
        <f t="shared" si="8"/>
        <v>86.5</v>
      </c>
      <c r="I92" s="35">
        <v>-461.69054259482368</v>
      </c>
      <c r="J92" s="51">
        <v>-254.01816300916906</v>
      </c>
      <c r="K92" s="25">
        <v>-27.707829704318627</v>
      </c>
      <c r="L92" s="44">
        <f t="shared" si="6"/>
        <v>-423.10102181832002</v>
      </c>
      <c r="M92" s="17"/>
    </row>
    <row r="93" spans="1:13" ht="16.5" thickBot="1" x14ac:dyDescent="0.3">
      <c r="A93" s="13" t="s">
        <v>26</v>
      </c>
      <c r="B93" s="19" t="s">
        <v>44</v>
      </c>
      <c r="C93" s="14">
        <v>500</v>
      </c>
      <c r="D93" s="39">
        <v>13.6650375069372</v>
      </c>
      <c r="E93" s="31">
        <v>88.1</v>
      </c>
      <c r="F93" s="33">
        <f t="shared" si="7"/>
        <v>158.28237597911226</v>
      </c>
      <c r="G93" s="52">
        <v>50.3</v>
      </c>
      <c r="H93" s="41">
        <f t="shared" si="8"/>
        <v>108.98750000000001</v>
      </c>
      <c r="I93" s="35">
        <v>-522.54666639520781</v>
      </c>
      <c r="J93" s="51">
        <v>-308.58879552881979</v>
      </c>
      <c r="K93" s="25">
        <v>-23.870208216501499</v>
      </c>
      <c r="L93" s="44">
        <f t="shared" si="6"/>
        <v>-449.33579416141686</v>
      </c>
      <c r="M93" s="17"/>
    </row>
    <row r="94" spans="1:13" ht="16.5" thickBot="1" x14ac:dyDescent="0.3">
      <c r="A94" s="13" t="s">
        <v>27</v>
      </c>
      <c r="B94" s="19" t="s">
        <v>45</v>
      </c>
      <c r="C94" s="14">
        <v>0</v>
      </c>
      <c r="D94" s="39">
        <v>15.789778209337264</v>
      </c>
      <c r="E94" s="31">
        <v>66.5</v>
      </c>
      <c r="F94" s="33">
        <f t="shared" si="7"/>
        <v>163.1952872062663</v>
      </c>
      <c r="G94" s="52">
        <v>1.8</v>
      </c>
      <c r="H94" s="41">
        <f t="shared" si="8"/>
        <v>115.15</v>
      </c>
      <c r="I94" s="35">
        <v>-697.63864667245036</v>
      </c>
      <c r="J94" s="51">
        <v>-574.32205958750319</v>
      </c>
      <c r="K94" s="25">
        <v>-17.944360919237472</v>
      </c>
      <c r="L94" s="44">
        <f t="shared" si="6"/>
        <v>-943.25977997292478</v>
      </c>
      <c r="M94" s="17"/>
    </row>
    <row r="95" spans="1:13" ht="16.5" thickBot="1" x14ac:dyDescent="0.3">
      <c r="A95" s="13" t="s">
        <v>27</v>
      </c>
      <c r="B95" s="19" t="s">
        <v>46</v>
      </c>
      <c r="C95" s="14">
        <v>500</v>
      </c>
      <c r="D95" s="39">
        <v>15.852109103625477</v>
      </c>
      <c r="E95" s="31">
        <v>138.9</v>
      </c>
      <c r="F95" s="33">
        <f t="shared" si="7"/>
        <v>184.81687554395126</v>
      </c>
      <c r="G95" s="52">
        <v>4.9000000000000004</v>
      </c>
      <c r="H95" s="41">
        <f t="shared" si="8"/>
        <v>120.7625</v>
      </c>
      <c r="I95" s="35">
        <v>-656.04106195638963</v>
      </c>
      <c r="J95" s="51">
        <v>-460.61617331894132</v>
      </c>
      <c r="K95" s="25">
        <v>-14.057275796407426</v>
      </c>
      <c r="L95" s="44">
        <f t="shared" si="6"/>
        <v>-681.3351355277872</v>
      </c>
      <c r="M95" s="17"/>
    </row>
    <row r="96" spans="1:13" x14ac:dyDescent="0.25">
      <c r="A96" s="17"/>
      <c r="B96" s="17"/>
      <c r="C96" s="17"/>
      <c r="D96" s="36"/>
      <c r="E96" s="36"/>
      <c r="F96" s="36"/>
      <c r="G96" s="36"/>
      <c r="H96" s="36"/>
      <c r="I96" s="36"/>
      <c r="J96" s="36"/>
      <c r="K96" s="36"/>
      <c r="L96" s="36"/>
      <c r="M96" s="17"/>
    </row>
    <row r="97" spans="1:13" ht="16.5" thickBot="1" x14ac:dyDescent="0.3">
      <c r="A97" s="10">
        <v>2021</v>
      </c>
      <c r="B97" s="11"/>
      <c r="C97" s="12"/>
      <c r="D97" s="49"/>
      <c r="E97" s="31"/>
      <c r="F97" s="31"/>
      <c r="G97" s="31"/>
      <c r="H97" s="31"/>
      <c r="I97" s="31"/>
      <c r="J97" s="31"/>
      <c r="K97" s="31"/>
      <c r="L97" s="50"/>
      <c r="M97" s="17"/>
    </row>
    <row r="98" spans="1:13" ht="16.5" thickBot="1" x14ac:dyDescent="0.3">
      <c r="A98" s="8" t="s">
        <v>22</v>
      </c>
      <c r="B98" s="19" t="s">
        <v>35</v>
      </c>
      <c r="C98" s="15" t="s">
        <v>14</v>
      </c>
      <c r="D98" s="39">
        <v>6</v>
      </c>
      <c r="E98" s="25">
        <v>113.1</v>
      </c>
      <c r="F98" s="25">
        <v>74.78</v>
      </c>
      <c r="G98" s="35">
        <v>140</v>
      </c>
      <c r="H98" s="41">
        <f>AVERAGE(H70,H84)</f>
        <v>10.293749999999999</v>
      </c>
      <c r="I98" s="25">
        <v>-318.17962501701265</v>
      </c>
      <c r="J98" s="43">
        <v>-8.9971900723817484</v>
      </c>
      <c r="K98" s="35">
        <v>-15</v>
      </c>
      <c r="L98" s="44">
        <f t="shared" ref="L98:L109" si="9">SUM(E98:K98)</f>
        <v>-4.0030650893944184</v>
      </c>
      <c r="M98" s="17"/>
    </row>
    <row r="99" spans="1:13" ht="16.5" thickBot="1" x14ac:dyDescent="0.3">
      <c r="A99" s="8" t="s">
        <v>22</v>
      </c>
      <c r="B99" s="19" t="s">
        <v>36</v>
      </c>
      <c r="C99" s="15" t="s">
        <v>14</v>
      </c>
      <c r="D99" s="39">
        <v>6.4</v>
      </c>
      <c r="E99" s="25">
        <v>174.4</v>
      </c>
      <c r="F99" s="25">
        <v>54.18</v>
      </c>
      <c r="G99" s="35">
        <v>140</v>
      </c>
      <c r="H99" s="41">
        <f t="shared" ref="H99:H109" si="10">AVERAGE(H71,H85)</f>
        <v>48.793750000000003</v>
      </c>
      <c r="I99" s="25">
        <v>-345.50675767130105</v>
      </c>
      <c r="J99" s="43">
        <v>-32.778719982791941</v>
      </c>
      <c r="K99" s="35">
        <v>-15</v>
      </c>
      <c r="L99" s="44">
        <f t="shared" si="9"/>
        <v>24.088272345907043</v>
      </c>
      <c r="M99" s="17"/>
    </row>
    <row r="100" spans="1:13" ht="16.5" thickBot="1" x14ac:dyDescent="0.3">
      <c r="A100" s="13" t="s">
        <v>23</v>
      </c>
      <c r="B100" s="19" t="s">
        <v>37</v>
      </c>
      <c r="C100" s="14">
        <v>0</v>
      </c>
      <c r="D100" s="39">
        <v>7.7</v>
      </c>
      <c r="E100" s="31">
        <v>107.4</v>
      </c>
      <c r="F100" s="25">
        <v>118.07</v>
      </c>
      <c r="G100" s="52">
        <v>85.7</v>
      </c>
      <c r="H100" s="41">
        <f t="shared" si="10"/>
        <v>69.275000000000006</v>
      </c>
      <c r="I100" s="25">
        <v>-394.96811880161215</v>
      </c>
      <c r="J100" s="43">
        <v>-7.7009598458002468</v>
      </c>
      <c r="K100" s="25">
        <v>-7.8383528364056945</v>
      </c>
      <c r="L100" s="44">
        <f t="shared" si="9"/>
        <v>-30.062431483818042</v>
      </c>
      <c r="M100" s="17"/>
    </row>
    <row r="101" spans="1:13" ht="16.5" thickBot="1" x14ac:dyDescent="0.3">
      <c r="A101" s="13" t="s">
        <v>23</v>
      </c>
      <c r="B101" s="19" t="s">
        <v>38</v>
      </c>
      <c r="C101" s="14">
        <v>500</v>
      </c>
      <c r="D101" s="39">
        <v>7.8</v>
      </c>
      <c r="E101" s="31">
        <v>85.1</v>
      </c>
      <c r="F101" s="25">
        <v>78.569999999999993</v>
      </c>
      <c r="G101" s="52">
        <v>71.8</v>
      </c>
      <c r="H101" s="41">
        <f t="shared" si="10"/>
        <v>22.693750000000001</v>
      </c>
      <c r="I101" s="25">
        <v>-385.70068322321725</v>
      </c>
      <c r="J101" s="43">
        <v>-8.346083773503354</v>
      </c>
      <c r="K101" s="25">
        <v>-14.728175754155782</v>
      </c>
      <c r="L101" s="44">
        <f t="shared" si="9"/>
        <v>-150.6111927508764</v>
      </c>
      <c r="M101" s="17"/>
    </row>
    <row r="102" spans="1:13" ht="16.5" thickBot="1" x14ac:dyDescent="0.3">
      <c r="A102" s="13" t="s">
        <v>24</v>
      </c>
      <c r="B102" s="19" t="s">
        <v>39</v>
      </c>
      <c r="C102" s="14">
        <v>0</v>
      </c>
      <c r="D102" s="39">
        <v>10</v>
      </c>
      <c r="E102" s="31">
        <v>224</v>
      </c>
      <c r="F102" s="25">
        <v>52.37</v>
      </c>
      <c r="G102" s="52">
        <v>114.8</v>
      </c>
      <c r="H102" s="41">
        <f t="shared" si="10"/>
        <v>84.224999999999994</v>
      </c>
      <c r="I102" s="25">
        <v>-438.6478311432968</v>
      </c>
      <c r="J102" s="25">
        <v>-26.59</v>
      </c>
      <c r="K102" s="25">
        <v>-24.95154426219457</v>
      </c>
      <c r="L102" s="44">
        <f t="shared" si="9"/>
        <v>-14.794375405491387</v>
      </c>
      <c r="M102" s="17"/>
    </row>
    <row r="103" spans="1:13" ht="16.5" thickBot="1" x14ac:dyDescent="0.3">
      <c r="A103" s="13" t="s">
        <v>24</v>
      </c>
      <c r="B103" s="19" t="s">
        <v>40</v>
      </c>
      <c r="C103" s="14">
        <v>500</v>
      </c>
      <c r="D103" s="39">
        <v>9.9</v>
      </c>
      <c r="E103" s="31">
        <v>125.1</v>
      </c>
      <c r="F103" s="25">
        <v>81.19</v>
      </c>
      <c r="G103" s="52">
        <v>43.9</v>
      </c>
      <c r="H103" s="41">
        <f t="shared" si="10"/>
        <v>42.356250000000003</v>
      </c>
      <c r="I103" s="25">
        <v>-476.10576299834361</v>
      </c>
      <c r="J103" s="25">
        <v>-18.68</v>
      </c>
      <c r="K103" s="25">
        <v>-6.873584023976985</v>
      </c>
      <c r="L103" s="44">
        <f t="shared" si="9"/>
        <v>-209.1130970223206</v>
      </c>
      <c r="M103" s="17"/>
    </row>
    <row r="104" spans="1:13" ht="16.5" thickBot="1" x14ac:dyDescent="0.3">
      <c r="A104" s="13" t="s">
        <v>25</v>
      </c>
      <c r="B104" s="19" t="s">
        <v>41</v>
      </c>
      <c r="C104" s="14">
        <v>0</v>
      </c>
      <c r="D104" s="39">
        <v>12.2</v>
      </c>
      <c r="E104" s="31">
        <v>86.7</v>
      </c>
      <c r="F104" s="25">
        <v>120</v>
      </c>
      <c r="G104" s="52">
        <v>64.3</v>
      </c>
      <c r="H104" s="41">
        <f t="shared" si="10"/>
        <v>86.543750000000003</v>
      </c>
      <c r="I104" s="25">
        <v>-503.28239517798511</v>
      </c>
      <c r="J104" s="25">
        <v>-44.42</v>
      </c>
      <c r="K104" s="25">
        <v>-5.4072805292438453</v>
      </c>
      <c r="L104" s="44">
        <f t="shared" si="9"/>
        <v>-195.56592570722898</v>
      </c>
      <c r="M104" s="17"/>
    </row>
    <row r="105" spans="1:13" ht="16.5" thickBot="1" x14ac:dyDescent="0.3">
      <c r="A105" s="13" t="s">
        <v>25</v>
      </c>
      <c r="B105" s="19" t="s">
        <v>42</v>
      </c>
      <c r="C105" s="14">
        <v>500</v>
      </c>
      <c r="D105" s="39">
        <v>12.1</v>
      </c>
      <c r="E105" s="31">
        <v>103.3</v>
      </c>
      <c r="F105" s="25">
        <v>172.63</v>
      </c>
      <c r="G105" s="52">
        <v>9.6</v>
      </c>
      <c r="H105" s="41">
        <f t="shared" si="10"/>
        <v>107.58124999999998</v>
      </c>
      <c r="I105" s="25">
        <v>-453.75569972332073</v>
      </c>
      <c r="J105" s="25">
        <v>-54.28</v>
      </c>
      <c r="K105" s="25">
        <v>-13.923318275129223</v>
      </c>
      <c r="L105" s="44">
        <f t="shared" si="9"/>
        <v>-128.84776799844991</v>
      </c>
      <c r="M105" s="17"/>
    </row>
    <row r="106" spans="1:13" ht="16.5" thickBot="1" x14ac:dyDescent="0.3">
      <c r="A106" s="13" t="s">
        <v>26</v>
      </c>
      <c r="B106" s="19" t="s">
        <v>43</v>
      </c>
      <c r="C106" s="14">
        <v>0</v>
      </c>
      <c r="D106" s="39">
        <v>14.5</v>
      </c>
      <c r="E106" s="31">
        <v>153.80000000000001</v>
      </c>
      <c r="F106" s="25">
        <v>108.25</v>
      </c>
      <c r="G106" s="52">
        <v>15.3</v>
      </c>
      <c r="H106" s="41">
        <f t="shared" si="10"/>
        <v>84.6</v>
      </c>
      <c r="I106" s="25">
        <v>-504.83075717650723</v>
      </c>
      <c r="J106" s="43">
        <v>-69.588844864090845</v>
      </c>
      <c r="K106" s="25">
        <v>-12.136972482037732</v>
      </c>
      <c r="L106" s="44">
        <f t="shared" si="9"/>
        <v>-224.60657452263575</v>
      </c>
      <c r="M106" s="17"/>
    </row>
    <row r="107" spans="1:13" ht="16.5" thickBot="1" x14ac:dyDescent="0.3">
      <c r="A107" s="13" t="s">
        <v>26</v>
      </c>
      <c r="B107" s="19" t="s">
        <v>44</v>
      </c>
      <c r="C107" s="14">
        <v>500</v>
      </c>
      <c r="D107" s="39">
        <v>14.4</v>
      </c>
      <c r="E107" s="31">
        <v>137.6</v>
      </c>
      <c r="F107" s="25">
        <v>152.5</v>
      </c>
      <c r="G107" s="52">
        <v>28.2</v>
      </c>
      <c r="H107" s="41">
        <f t="shared" si="10"/>
        <v>115.95625000000001</v>
      </c>
      <c r="I107" s="25">
        <v>-525.33361457672277</v>
      </c>
      <c r="J107" s="43">
        <v>-106.95002864395885</v>
      </c>
      <c r="K107" s="25">
        <v>-6.7855241249914124</v>
      </c>
      <c r="L107" s="44">
        <f t="shared" si="9"/>
        <v>-204.81291734567299</v>
      </c>
      <c r="M107" s="17"/>
    </row>
    <row r="108" spans="1:13" ht="16.5" thickBot="1" x14ac:dyDescent="0.3">
      <c r="A108" s="13" t="s">
        <v>27</v>
      </c>
      <c r="B108" s="19" t="s">
        <v>45</v>
      </c>
      <c r="C108" s="14">
        <v>0</v>
      </c>
      <c r="D108" s="39">
        <v>16.399999999999999</v>
      </c>
      <c r="E108" s="31">
        <v>105.3</v>
      </c>
      <c r="F108" s="25">
        <v>193.23</v>
      </c>
      <c r="G108" s="52">
        <v>0</v>
      </c>
      <c r="H108" s="41">
        <f t="shared" si="10"/>
        <v>123.22500000000001</v>
      </c>
      <c r="I108" s="25">
        <v>-735.2039068005862</v>
      </c>
      <c r="J108" s="25">
        <v>-110.09</v>
      </c>
      <c r="K108" s="25">
        <v>-4.2184177821804889</v>
      </c>
      <c r="L108" s="44">
        <f t="shared" si="9"/>
        <v>-427.75732458276673</v>
      </c>
      <c r="M108" s="17"/>
    </row>
    <row r="109" spans="1:13" ht="16.5" thickBot="1" x14ac:dyDescent="0.3">
      <c r="A109" s="13" t="s">
        <v>27</v>
      </c>
      <c r="B109" s="19" t="s">
        <v>46</v>
      </c>
      <c r="C109" s="14">
        <v>500</v>
      </c>
      <c r="D109" s="39">
        <v>16.399999999999999</v>
      </c>
      <c r="E109" s="31">
        <v>136.80000000000001</v>
      </c>
      <c r="F109" s="25">
        <v>209.82</v>
      </c>
      <c r="G109" s="52">
        <v>7.7</v>
      </c>
      <c r="H109" s="41">
        <f t="shared" si="10"/>
        <v>123.01875000000001</v>
      </c>
      <c r="I109" s="25">
        <v>-685.18119612366218</v>
      </c>
      <c r="J109" s="25">
        <v>-75.569999999999993</v>
      </c>
      <c r="K109" s="25">
        <v>-12.619618790780219</v>
      </c>
      <c r="L109" s="44">
        <f t="shared" si="9"/>
        <v>-296.0320649144424</v>
      </c>
      <c r="M109" s="17"/>
    </row>
    <row r="110" spans="1:13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x14ac:dyDescent="0.25">
      <c r="A111" s="17" t="s">
        <v>63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4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4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4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 spans="1:14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</sheetData>
  <mergeCells count="13">
    <mergeCell ref="E8:L8"/>
    <mergeCell ref="G4:G7"/>
    <mergeCell ref="H4:H7"/>
    <mergeCell ref="I4:I7"/>
    <mergeCell ref="J4:J7"/>
    <mergeCell ref="K4:K7"/>
    <mergeCell ref="L4:L7"/>
    <mergeCell ref="F4:F7"/>
    <mergeCell ref="A4:A7"/>
    <mergeCell ref="B4:B7"/>
    <mergeCell ref="C4:C7"/>
    <mergeCell ref="D4:D7"/>
    <mergeCell ref="E4:E7"/>
  </mergeCells>
  <pageMargins left="0.7" right="0.7" top="0.75" bottom="0.75" header="0.3" footer="0.3"/>
  <pageSetup scale="65" fitToHeight="2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D474-DB24-4890-911D-75DD65167D98}">
  <dimension ref="A1:M74"/>
  <sheetViews>
    <sheetView tabSelected="1" workbookViewId="0">
      <selection activeCell="C17" sqref="C17"/>
    </sheetView>
  </sheetViews>
  <sheetFormatPr defaultRowHeight="15.75" x14ac:dyDescent="0.25"/>
  <cols>
    <col min="1" max="1" width="7.625" bestFit="1" customWidth="1"/>
    <col min="2" max="2" width="11.25" bestFit="1" customWidth="1"/>
    <col min="3" max="3" width="4.5" bestFit="1" customWidth="1"/>
    <col min="4" max="4" width="11.875" bestFit="1" customWidth="1"/>
    <col min="5" max="5" width="23.125" bestFit="1" customWidth="1"/>
    <col min="6" max="6" width="16.75" bestFit="1" customWidth="1"/>
    <col min="7" max="7" width="17.75" bestFit="1" customWidth="1"/>
    <col min="8" max="8" width="10" bestFit="1" customWidth="1"/>
    <col min="9" max="9" width="16.375" bestFit="1" customWidth="1"/>
    <col min="10" max="13" width="12.5" bestFit="1" customWidth="1"/>
  </cols>
  <sheetData>
    <row r="1" spans="1:13" x14ac:dyDescent="0.25">
      <c r="C1" t="s">
        <v>9</v>
      </c>
      <c r="D1" t="s">
        <v>10</v>
      </c>
      <c r="E1" t="s">
        <v>11</v>
      </c>
      <c r="F1" s="65" t="s">
        <v>64</v>
      </c>
      <c r="G1" s="65"/>
      <c r="H1" s="65"/>
      <c r="I1" s="65"/>
      <c r="J1" s="65"/>
      <c r="K1" s="65"/>
      <c r="L1" s="65"/>
      <c r="M1" s="65"/>
    </row>
    <row r="2" spans="1:13" x14ac:dyDescent="0.25">
      <c r="A2" t="s">
        <v>65</v>
      </c>
      <c r="B2" t="s">
        <v>66</v>
      </c>
      <c r="C2" t="s">
        <v>0</v>
      </c>
      <c r="D2" t="s">
        <v>67</v>
      </c>
      <c r="E2" t="s">
        <v>2</v>
      </c>
      <c r="F2" t="s">
        <v>30</v>
      </c>
      <c r="G2" t="s">
        <v>31</v>
      </c>
      <c r="H2" t="s">
        <v>68</v>
      </c>
      <c r="I2" t="s">
        <v>4</v>
      </c>
      <c r="J2" t="s">
        <v>69</v>
      </c>
      <c r="K2" t="s">
        <v>6</v>
      </c>
      <c r="L2" t="s">
        <v>7</v>
      </c>
      <c r="M2" t="s">
        <v>8</v>
      </c>
    </row>
    <row r="3" spans="1:13" x14ac:dyDescent="0.25">
      <c r="A3">
        <v>2016</v>
      </c>
      <c r="B3" t="s">
        <v>22</v>
      </c>
      <c r="C3" t="s">
        <v>35</v>
      </c>
      <c r="D3" t="s">
        <v>14</v>
      </c>
      <c r="E3">
        <v>6</v>
      </c>
      <c r="F3">
        <v>54.9</v>
      </c>
      <c r="G3">
        <v>56.4</v>
      </c>
      <c r="H3">
        <v>93.1</v>
      </c>
      <c r="I3">
        <v>9.4</v>
      </c>
      <c r="J3">
        <v>-369.9</v>
      </c>
      <c r="K3">
        <v>-55.606491091658818</v>
      </c>
      <c r="L3">
        <v>-40</v>
      </c>
      <c r="M3">
        <v>-251.70649109165882</v>
      </c>
    </row>
    <row r="4" spans="1:13" x14ac:dyDescent="0.25">
      <c r="A4">
        <v>2016</v>
      </c>
      <c r="B4" t="s">
        <v>22</v>
      </c>
      <c r="C4" t="s">
        <v>36</v>
      </c>
      <c r="D4" t="s">
        <v>14</v>
      </c>
      <c r="E4">
        <v>7</v>
      </c>
      <c r="F4">
        <v>108.7</v>
      </c>
      <c r="G4">
        <v>105.3</v>
      </c>
      <c r="H4">
        <v>265.8</v>
      </c>
      <c r="I4">
        <v>41.3</v>
      </c>
      <c r="J4">
        <v>-387.7</v>
      </c>
      <c r="K4">
        <v>-54.878756156827563</v>
      </c>
      <c r="L4">
        <v>-40</v>
      </c>
      <c r="M4">
        <v>38.521243843172471</v>
      </c>
    </row>
    <row r="5" spans="1:13" x14ac:dyDescent="0.25">
      <c r="A5">
        <v>2016</v>
      </c>
      <c r="B5" t="s">
        <v>23</v>
      </c>
      <c r="C5" t="s">
        <v>37</v>
      </c>
      <c r="D5">
        <v>0</v>
      </c>
      <c r="E5">
        <v>8.1999999999999993</v>
      </c>
      <c r="F5">
        <v>46.5</v>
      </c>
      <c r="G5">
        <v>55.3</v>
      </c>
      <c r="H5">
        <v>110.1</v>
      </c>
      <c r="I5">
        <v>63.5</v>
      </c>
      <c r="J5">
        <v>-352.7</v>
      </c>
      <c r="K5">
        <v>-34.083586953510476</v>
      </c>
      <c r="L5">
        <v>-49.896272401004268</v>
      </c>
      <c r="M5">
        <v>-161.27985935451477</v>
      </c>
    </row>
    <row r="6" spans="1:13" x14ac:dyDescent="0.25">
      <c r="A6">
        <v>2016</v>
      </c>
      <c r="B6" t="s">
        <v>23</v>
      </c>
      <c r="C6" t="s">
        <v>38</v>
      </c>
      <c r="D6">
        <v>500</v>
      </c>
      <c r="E6">
        <v>7.9</v>
      </c>
      <c r="F6">
        <v>105.6</v>
      </c>
      <c r="G6">
        <v>99.3</v>
      </c>
      <c r="H6">
        <v>157.19999999999999</v>
      </c>
      <c r="I6">
        <v>33.9</v>
      </c>
      <c r="J6">
        <v>-372.5</v>
      </c>
      <c r="K6">
        <v>-38.072734639045578</v>
      </c>
      <c r="L6">
        <v>-30.555130371760939</v>
      </c>
      <c r="M6">
        <v>-45.127865010806573</v>
      </c>
    </row>
    <row r="7" spans="1:13" x14ac:dyDescent="0.25">
      <c r="A7">
        <v>2016</v>
      </c>
      <c r="B7" t="s">
        <v>24</v>
      </c>
      <c r="C7" t="s">
        <v>39</v>
      </c>
      <c r="D7">
        <v>0</v>
      </c>
      <c r="E7">
        <v>10.5</v>
      </c>
      <c r="F7">
        <v>146.4</v>
      </c>
      <c r="G7">
        <v>131.4</v>
      </c>
      <c r="H7">
        <v>91.4</v>
      </c>
      <c r="I7">
        <v>107.6</v>
      </c>
      <c r="J7">
        <v>-439.5</v>
      </c>
      <c r="K7">
        <v>-28.497362162039533</v>
      </c>
      <c r="L7">
        <v>-95.831665599037535</v>
      </c>
      <c r="M7">
        <v>-87.029027761077003</v>
      </c>
    </row>
    <row r="8" spans="1:13" x14ac:dyDescent="0.25">
      <c r="A8">
        <v>2016</v>
      </c>
      <c r="B8" t="s">
        <v>24</v>
      </c>
      <c r="C8" t="s">
        <v>40</v>
      </c>
      <c r="D8">
        <v>500</v>
      </c>
      <c r="E8">
        <v>10.4</v>
      </c>
      <c r="F8">
        <v>67.7</v>
      </c>
      <c r="G8">
        <v>118.3</v>
      </c>
      <c r="H8">
        <v>95.6</v>
      </c>
      <c r="I8">
        <v>28.4</v>
      </c>
      <c r="J8">
        <v>-467.4</v>
      </c>
      <c r="K8">
        <v>-30.547359097255672</v>
      </c>
      <c r="L8">
        <v>-45.706811462278644</v>
      </c>
      <c r="M8">
        <v>-233.65417055953429</v>
      </c>
    </row>
    <row r="9" spans="1:13" x14ac:dyDescent="0.25">
      <c r="A9">
        <v>2016</v>
      </c>
      <c r="B9" t="s">
        <v>25</v>
      </c>
      <c r="C9" t="s">
        <v>41</v>
      </c>
      <c r="D9">
        <v>0</v>
      </c>
      <c r="E9">
        <v>12.8</v>
      </c>
      <c r="F9">
        <v>51.9</v>
      </c>
      <c r="G9">
        <v>84.8</v>
      </c>
      <c r="H9">
        <v>117.8</v>
      </c>
      <c r="I9">
        <v>88.4</v>
      </c>
      <c r="J9">
        <v>-453.3</v>
      </c>
      <c r="K9">
        <v>-47.069207502878029</v>
      </c>
      <c r="L9">
        <v>-49.642981381407914</v>
      </c>
      <c r="M9">
        <v>-207.11218888428598</v>
      </c>
    </row>
    <row r="10" spans="1:13" x14ac:dyDescent="0.25">
      <c r="A10">
        <v>2016</v>
      </c>
      <c r="B10" t="s">
        <v>25</v>
      </c>
      <c r="C10" t="s">
        <v>42</v>
      </c>
      <c r="D10">
        <v>500</v>
      </c>
      <c r="E10">
        <v>12.7</v>
      </c>
      <c r="F10">
        <v>49</v>
      </c>
      <c r="G10">
        <v>171</v>
      </c>
      <c r="H10">
        <v>105.6</v>
      </c>
      <c r="I10">
        <v>104.9</v>
      </c>
      <c r="J10">
        <v>-537.29999999999995</v>
      </c>
      <c r="K10">
        <v>-54.571763430273734</v>
      </c>
      <c r="L10">
        <v>-65.253498173704457</v>
      </c>
      <c r="M10">
        <v>-226.62526160397815</v>
      </c>
    </row>
    <row r="11" spans="1:13" x14ac:dyDescent="0.25">
      <c r="A11">
        <v>2016</v>
      </c>
      <c r="B11" t="s">
        <v>26</v>
      </c>
      <c r="C11" t="s">
        <v>43</v>
      </c>
      <c r="D11">
        <v>0</v>
      </c>
      <c r="E11">
        <v>14.5</v>
      </c>
      <c r="F11">
        <v>73.7</v>
      </c>
      <c r="G11">
        <v>116.9</v>
      </c>
      <c r="H11">
        <v>107.6</v>
      </c>
      <c r="I11">
        <v>105.5</v>
      </c>
      <c r="J11">
        <v>-505.1</v>
      </c>
      <c r="K11">
        <v>-149.64622752264029</v>
      </c>
      <c r="L11">
        <v>-47.353453477909483</v>
      </c>
      <c r="M11">
        <v>-298.39968100054978</v>
      </c>
    </row>
    <row r="12" spans="1:13" x14ac:dyDescent="0.25">
      <c r="A12">
        <v>2016</v>
      </c>
      <c r="B12" t="s">
        <v>26</v>
      </c>
      <c r="C12" t="s">
        <v>44</v>
      </c>
      <c r="D12">
        <v>500</v>
      </c>
      <c r="E12">
        <v>14.6</v>
      </c>
      <c r="F12">
        <v>109.2</v>
      </c>
      <c r="G12">
        <v>111.7</v>
      </c>
      <c r="H12">
        <v>117.5</v>
      </c>
      <c r="I12">
        <v>39.299999999999997</v>
      </c>
      <c r="J12">
        <v>-540.70000000000005</v>
      </c>
      <c r="K12">
        <v>-205.85554621613119</v>
      </c>
      <c r="L12">
        <v>-34.471122217687402</v>
      </c>
      <c r="M12">
        <v>-403.32666843381867</v>
      </c>
    </row>
    <row r="13" spans="1:13" x14ac:dyDescent="0.25">
      <c r="A13">
        <v>2016</v>
      </c>
      <c r="B13" t="s">
        <v>27</v>
      </c>
      <c r="C13" t="s">
        <v>45</v>
      </c>
      <c r="D13">
        <v>0</v>
      </c>
      <c r="E13">
        <v>16.8</v>
      </c>
      <c r="F13">
        <v>57.4</v>
      </c>
      <c r="G13">
        <v>153.69999999999999</v>
      </c>
      <c r="H13">
        <v>111.8</v>
      </c>
      <c r="I13">
        <v>34.4</v>
      </c>
      <c r="J13">
        <v>-503.3</v>
      </c>
      <c r="K13">
        <v>-114.93345976617873</v>
      </c>
      <c r="L13">
        <v>-24.700771237145769</v>
      </c>
      <c r="M13">
        <v>-285.63423100332454</v>
      </c>
    </row>
    <row r="14" spans="1:13" x14ac:dyDescent="0.25">
      <c r="A14">
        <v>2016</v>
      </c>
      <c r="B14" t="s">
        <v>27</v>
      </c>
      <c r="C14" t="s">
        <v>46</v>
      </c>
      <c r="D14">
        <v>500</v>
      </c>
      <c r="E14">
        <v>16.5</v>
      </c>
      <c r="F14">
        <v>44</v>
      </c>
      <c r="G14">
        <v>126.8</v>
      </c>
      <c r="H14">
        <v>81.5</v>
      </c>
      <c r="I14">
        <v>98.2</v>
      </c>
      <c r="J14">
        <v>-513.79999999999995</v>
      </c>
      <c r="K14">
        <v>-114.41981063532216</v>
      </c>
      <c r="L14">
        <v>-26.893191498144255</v>
      </c>
      <c r="M14">
        <v>-304.61300213346635</v>
      </c>
    </row>
    <row r="15" spans="1:13" x14ac:dyDescent="0.25">
      <c r="A15">
        <v>2017</v>
      </c>
      <c r="B15" t="s">
        <v>22</v>
      </c>
      <c r="C15" t="s">
        <v>35</v>
      </c>
      <c r="D15" t="s">
        <v>14</v>
      </c>
      <c r="E15">
        <v>5</v>
      </c>
      <c r="F15">
        <v>81.400000000000006</v>
      </c>
      <c r="G15">
        <v>77</v>
      </c>
      <c r="H15">
        <v>124.4</v>
      </c>
      <c r="I15">
        <v>10.7</v>
      </c>
      <c r="J15">
        <v>-352</v>
      </c>
      <c r="K15">
        <v>-48.950020925690801</v>
      </c>
      <c r="L15">
        <v>-33</v>
      </c>
      <c r="M15">
        <v>-140.45002092569081</v>
      </c>
    </row>
    <row r="16" spans="1:13" x14ac:dyDescent="0.25">
      <c r="A16">
        <v>2017</v>
      </c>
      <c r="B16" t="s">
        <v>22</v>
      </c>
      <c r="C16" t="s">
        <v>36</v>
      </c>
      <c r="D16" t="s">
        <v>14</v>
      </c>
      <c r="E16">
        <v>5.8</v>
      </c>
      <c r="F16">
        <v>120.1</v>
      </c>
      <c r="G16">
        <v>112.8</v>
      </c>
      <c r="H16">
        <v>265.8</v>
      </c>
      <c r="I16">
        <v>52.2</v>
      </c>
      <c r="J16">
        <v>-383.7</v>
      </c>
      <c r="K16">
        <v>-53.673663785268879</v>
      </c>
      <c r="L16">
        <v>-33</v>
      </c>
      <c r="M16">
        <v>80.526336214731117</v>
      </c>
    </row>
    <row r="17" spans="1:13" x14ac:dyDescent="0.25">
      <c r="A17">
        <v>2017</v>
      </c>
      <c r="B17" t="s">
        <v>23</v>
      </c>
      <c r="C17" t="s">
        <v>37</v>
      </c>
      <c r="D17">
        <v>0</v>
      </c>
      <c r="E17">
        <v>6.8</v>
      </c>
      <c r="F17">
        <v>58.5</v>
      </c>
      <c r="G17">
        <v>142.5</v>
      </c>
      <c r="H17">
        <v>101.8</v>
      </c>
      <c r="I17">
        <v>71.900000000000006</v>
      </c>
      <c r="J17">
        <v>-322.10000000000002</v>
      </c>
      <c r="K17">
        <v>-28.284361983794067</v>
      </c>
      <c r="L17">
        <v>-28.23000401418134</v>
      </c>
      <c r="M17">
        <v>-3.9143659979753842</v>
      </c>
    </row>
    <row r="18" spans="1:13" x14ac:dyDescent="0.25">
      <c r="A18">
        <v>2017</v>
      </c>
      <c r="B18" t="s">
        <v>23</v>
      </c>
      <c r="C18" t="s">
        <v>38</v>
      </c>
      <c r="D18">
        <v>500</v>
      </c>
      <c r="E18">
        <v>6.5</v>
      </c>
      <c r="F18">
        <v>130.5</v>
      </c>
      <c r="G18">
        <v>154.4</v>
      </c>
      <c r="H18">
        <v>118.5</v>
      </c>
      <c r="I18">
        <v>17.600000000000001</v>
      </c>
      <c r="J18">
        <v>-353.4</v>
      </c>
      <c r="K18">
        <v>-34.341044880456842</v>
      </c>
      <c r="L18">
        <v>-23.95990510010266</v>
      </c>
      <c r="M18">
        <v>9.2990500194405215</v>
      </c>
    </row>
    <row r="19" spans="1:13" x14ac:dyDescent="0.25">
      <c r="A19">
        <v>2017</v>
      </c>
      <c r="B19" t="s">
        <v>24</v>
      </c>
      <c r="C19" t="s">
        <v>39</v>
      </c>
      <c r="D19">
        <v>0</v>
      </c>
      <c r="E19">
        <v>9.1999999999999993</v>
      </c>
      <c r="F19">
        <v>170.6</v>
      </c>
      <c r="G19">
        <v>90.2</v>
      </c>
      <c r="H19">
        <v>119.6</v>
      </c>
      <c r="I19">
        <v>73.599999999999994</v>
      </c>
      <c r="J19">
        <v>-411.4</v>
      </c>
      <c r="K19">
        <v>-24.412380053038373</v>
      </c>
      <c r="L19">
        <v>-34.251367592146195</v>
      </c>
      <c r="M19">
        <v>-16.063747645184545</v>
      </c>
    </row>
    <row r="20" spans="1:13" x14ac:dyDescent="0.25">
      <c r="A20">
        <v>2017</v>
      </c>
      <c r="B20" t="s">
        <v>24</v>
      </c>
      <c r="C20" t="s">
        <v>40</v>
      </c>
      <c r="D20">
        <v>500</v>
      </c>
      <c r="E20">
        <v>9.1999999999999993</v>
      </c>
      <c r="F20">
        <v>85.7</v>
      </c>
      <c r="G20">
        <v>83</v>
      </c>
      <c r="H20">
        <v>59.6</v>
      </c>
      <c r="I20">
        <v>48.7</v>
      </c>
      <c r="J20">
        <v>-373</v>
      </c>
      <c r="K20">
        <v>-27.806817627367831</v>
      </c>
      <c r="L20">
        <v>-18.541752385102555</v>
      </c>
      <c r="M20">
        <v>-142.34857001247039</v>
      </c>
    </row>
    <row r="21" spans="1:13" x14ac:dyDescent="0.25">
      <c r="A21">
        <v>2017</v>
      </c>
      <c r="B21" t="s">
        <v>25</v>
      </c>
      <c r="C21" t="s">
        <v>41</v>
      </c>
      <c r="D21">
        <v>0</v>
      </c>
      <c r="E21">
        <v>11.2</v>
      </c>
      <c r="F21">
        <v>57.3</v>
      </c>
      <c r="G21">
        <v>112.8</v>
      </c>
      <c r="H21">
        <v>94</v>
      </c>
      <c r="I21">
        <v>85.7</v>
      </c>
      <c r="J21">
        <v>-397.5</v>
      </c>
      <c r="K21">
        <v>-36.795523237494521</v>
      </c>
      <c r="L21">
        <v>-24.403030146856185</v>
      </c>
      <c r="M21">
        <v>-108.89855338435069</v>
      </c>
    </row>
    <row r="22" spans="1:13" x14ac:dyDescent="0.25">
      <c r="A22">
        <v>2017</v>
      </c>
      <c r="B22" t="s">
        <v>25</v>
      </c>
      <c r="C22" t="s">
        <v>42</v>
      </c>
      <c r="D22">
        <v>500</v>
      </c>
      <c r="E22">
        <v>11.3</v>
      </c>
      <c r="F22">
        <v>56</v>
      </c>
      <c r="G22">
        <v>169.9</v>
      </c>
      <c r="H22">
        <v>23.9</v>
      </c>
      <c r="I22">
        <v>108.8</v>
      </c>
      <c r="J22">
        <v>-453.3</v>
      </c>
      <c r="K22">
        <v>-46.379922144868743</v>
      </c>
      <c r="L22">
        <v>-37.930543336553342</v>
      </c>
      <c r="M22">
        <v>-179.01046548142207</v>
      </c>
    </row>
    <row r="23" spans="1:13" x14ac:dyDescent="0.25">
      <c r="A23">
        <v>2017</v>
      </c>
      <c r="B23" t="s">
        <v>26</v>
      </c>
      <c r="C23" t="s">
        <v>43</v>
      </c>
      <c r="D23">
        <v>0</v>
      </c>
      <c r="E23">
        <v>13.3</v>
      </c>
      <c r="F23">
        <v>88.4</v>
      </c>
      <c r="G23">
        <v>107.3</v>
      </c>
      <c r="H23">
        <v>53.6</v>
      </c>
      <c r="I23">
        <v>75.099999999999994</v>
      </c>
      <c r="J23">
        <v>-479.6</v>
      </c>
      <c r="K23">
        <v>-127.83003433147491</v>
      </c>
      <c r="L23">
        <v>-35.392852287212932</v>
      </c>
      <c r="M23">
        <v>-318.42288661868787</v>
      </c>
    </row>
    <row r="24" spans="1:13" x14ac:dyDescent="0.25">
      <c r="A24">
        <v>2017</v>
      </c>
      <c r="B24" t="s">
        <v>26</v>
      </c>
      <c r="C24" t="s">
        <v>44</v>
      </c>
      <c r="D24">
        <v>500</v>
      </c>
      <c r="E24">
        <v>13.4</v>
      </c>
      <c r="F24">
        <v>95.1</v>
      </c>
      <c r="G24">
        <v>142.9</v>
      </c>
      <c r="H24">
        <v>70.900000000000006</v>
      </c>
      <c r="I24">
        <v>150.80000000000001</v>
      </c>
      <c r="J24">
        <v>-520.79999999999995</v>
      </c>
      <c r="K24">
        <v>-205.08003688006468</v>
      </c>
      <c r="L24">
        <v>-20.724991792592782</v>
      </c>
      <c r="M24">
        <v>-286.90502867265747</v>
      </c>
    </row>
    <row r="25" spans="1:13" x14ac:dyDescent="0.25">
      <c r="A25">
        <v>2017</v>
      </c>
      <c r="B25" t="s">
        <v>27</v>
      </c>
      <c r="C25" t="s">
        <v>45</v>
      </c>
      <c r="D25">
        <v>0</v>
      </c>
      <c r="E25">
        <v>15.5</v>
      </c>
      <c r="F25">
        <v>32.700000000000003</v>
      </c>
      <c r="G25">
        <v>101.8</v>
      </c>
      <c r="H25">
        <v>25.5</v>
      </c>
      <c r="I25">
        <v>163.6</v>
      </c>
      <c r="J25">
        <v>-474.6</v>
      </c>
      <c r="K25">
        <v>-86.619773992798656</v>
      </c>
      <c r="L25">
        <v>-10.787728208810243</v>
      </c>
      <c r="M25">
        <v>-248.40750220160891</v>
      </c>
    </row>
    <row r="26" spans="1:13" x14ac:dyDescent="0.25">
      <c r="A26">
        <v>2017</v>
      </c>
      <c r="B26" t="s">
        <v>27</v>
      </c>
      <c r="C26" t="s">
        <v>46</v>
      </c>
      <c r="D26">
        <v>500</v>
      </c>
      <c r="E26">
        <v>15.4</v>
      </c>
      <c r="F26">
        <v>58.1</v>
      </c>
      <c r="G26">
        <v>253.4</v>
      </c>
      <c r="H26">
        <v>14.6</v>
      </c>
      <c r="I26">
        <v>134.30000000000001</v>
      </c>
      <c r="J26">
        <v>-490.6</v>
      </c>
      <c r="K26">
        <v>-87.525789872695256</v>
      </c>
      <c r="L26">
        <v>-17.913818949352407</v>
      </c>
      <c r="M26">
        <v>-135.63960882204765</v>
      </c>
    </row>
    <row r="27" spans="1:13" x14ac:dyDescent="0.25">
      <c r="A27">
        <v>2018</v>
      </c>
      <c r="B27" t="s">
        <v>22</v>
      </c>
      <c r="C27" t="s">
        <v>35</v>
      </c>
      <c r="D27" t="s">
        <v>14</v>
      </c>
      <c r="E27">
        <v>4</v>
      </c>
      <c r="F27">
        <v>68.5</v>
      </c>
      <c r="G27">
        <v>91.4</v>
      </c>
      <c r="H27">
        <v>140</v>
      </c>
      <c r="I27">
        <v>10.050000000000001</v>
      </c>
      <c r="J27">
        <v>-356.9</v>
      </c>
      <c r="K27">
        <v>-52.469029368593937</v>
      </c>
      <c r="L27">
        <v>-33</v>
      </c>
      <c r="M27">
        <v>-132.41902936859393</v>
      </c>
    </row>
    <row r="28" spans="1:13" x14ac:dyDescent="0.25">
      <c r="A28">
        <v>2018</v>
      </c>
      <c r="B28" t="s">
        <v>22</v>
      </c>
      <c r="C28" t="s">
        <v>36</v>
      </c>
      <c r="D28" t="s">
        <v>14</v>
      </c>
      <c r="E28">
        <v>4.4000000000000004</v>
      </c>
      <c r="F28">
        <v>104.9</v>
      </c>
      <c r="G28">
        <v>79.3</v>
      </c>
      <c r="H28">
        <v>140</v>
      </c>
      <c r="I28">
        <v>46.75</v>
      </c>
      <c r="J28">
        <v>-371.3</v>
      </c>
      <c r="K28">
        <v>-52.812598773037053</v>
      </c>
      <c r="L28">
        <v>-33</v>
      </c>
      <c r="M28">
        <v>-86.162598773037075</v>
      </c>
    </row>
    <row r="29" spans="1:13" x14ac:dyDescent="0.25">
      <c r="A29">
        <v>2018</v>
      </c>
      <c r="B29" t="s">
        <v>23</v>
      </c>
      <c r="C29" t="s">
        <v>37</v>
      </c>
      <c r="D29">
        <v>0</v>
      </c>
      <c r="E29">
        <v>6.4</v>
      </c>
      <c r="F29">
        <v>46.1</v>
      </c>
      <c r="G29">
        <v>97.6</v>
      </c>
      <c r="H29">
        <v>204.5</v>
      </c>
      <c r="I29">
        <v>67.7</v>
      </c>
      <c r="J29">
        <v>-324.10000000000002</v>
      </c>
      <c r="K29">
        <v>-25.712472608387483</v>
      </c>
      <c r="L29">
        <v>-32.334302763100254</v>
      </c>
      <c r="M29">
        <v>33.753224628512214</v>
      </c>
    </row>
    <row r="30" spans="1:13" x14ac:dyDescent="0.25">
      <c r="A30">
        <v>2018</v>
      </c>
      <c r="B30" t="s">
        <v>23</v>
      </c>
      <c r="C30" t="s">
        <v>38</v>
      </c>
      <c r="D30">
        <v>500</v>
      </c>
      <c r="E30">
        <v>6</v>
      </c>
      <c r="F30">
        <v>98.5</v>
      </c>
      <c r="G30">
        <v>111.3</v>
      </c>
      <c r="H30">
        <v>81.8</v>
      </c>
      <c r="I30">
        <v>25.75</v>
      </c>
      <c r="J30">
        <v>-327.39999999999998</v>
      </c>
      <c r="K30">
        <v>-30.923430322644474</v>
      </c>
      <c r="L30">
        <v>-23.974115088209597</v>
      </c>
      <c r="M30">
        <v>-64.947545410854033</v>
      </c>
    </row>
    <row r="31" spans="1:13" x14ac:dyDescent="0.25">
      <c r="A31">
        <v>2018</v>
      </c>
      <c r="B31" t="s">
        <v>24</v>
      </c>
      <c r="C31" t="s">
        <v>39</v>
      </c>
      <c r="D31">
        <v>0</v>
      </c>
      <c r="E31">
        <v>8.5</v>
      </c>
      <c r="F31">
        <v>155.30000000000001</v>
      </c>
      <c r="G31">
        <v>59.2</v>
      </c>
      <c r="H31">
        <v>190.9</v>
      </c>
      <c r="I31">
        <v>90.6</v>
      </c>
      <c r="J31">
        <v>-386.9</v>
      </c>
      <c r="K31">
        <v>-24.019396956062604</v>
      </c>
      <c r="L31">
        <v>-56.469654834192959</v>
      </c>
      <c r="M31">
        <v>28.610948209744457</v>
      </c>
    </row>
    <row r="32" spans="1:13" x14ac:dyDescent="0.25">
      <c r="A32">
        <v>2018</v>
      </c>
      <c r="B32" t="s">
        <v>24</v>
      </c>
      <c r="C32" t="s">
        <v>40</v>
      </c>
      <c r="D32">
        <v>500</v>
      </c>
      <c r="E32">
        <v>8.6999999999999993</v>
      </c>
      <c r="F32">
        <v>69.8</v>
      </c>
      <c r="G32">
        <v>100.9</v>
      </c>
      <c r="H32">
        <v>114</v>
      </c>
      <c r="I32">
        <v>38.549999999999997</v>
      </c>
      <c r="J32">
        <v>-382</v>
      </c>
      <c r="K32">
        <v>-23.858640219036239</v>
      </c>
      <c r="L32">
        <v>-28.689739139191527</v>
      </c>
      <c r="M32">
        <v>-111.29837935822776</v>
      </c>
    </row>
    <row r="33" spans="1:13" x14ac:dyDescent="0.25">
      <c r="A33">
        <v>2018</v>
      </c>
      <c r="B33" t="s">
        <v>25</v>
      </c>
      <c r="C33" t="s">
        <v>41</v>
      </c>
      <c r="D33">
        <v>0</v>
      </c>
      <c r="E33">
        <v>10.9</v>
      </c>
      <c r="F33">
        <v>66.099999999999994</v>
      </c>
      <c r="G33">
        <v>105.4</v>
      </c>
      <c r="H33">
        <v>84.6</v>
      </c>
      <c r="I33">
        <v>87.050000000000011</v>
      </c>
      <c r="J33">
        <v>-390.6</v>
      </c>
      <c r="K33">
        <v>-37.733384113139998</v>
      </c>
      <c r="L33">
        <v>-32.369235415335815</v>
      </c>
      <c r="M33">
        <v>-117.55261952847582</v>
      </c>
    </row>
    <row r="34" spans="1:13" x14ac:dyDescent="0.25">
      <c r="A34">
        <v>2018</v>
      </c>
      <c r="B34" t="s">
        <v>25</v>
      </c>
      <c r="C34" t="s">
        <v>42</v>
      </c>
      <c r="D34">
        <v>500</v>
      </c>
      <c r="E34">
        <v>10.8</v>
      </c>
      <c r="F34">
        <v>54.7</v>
      </c>
      <c r="G34">
        <v>114.7</v>
      </c>
      <c r="H34">
        <v>29.1</v>
      </c>
      <c r="I34">
        <v>106.85</v>
      </c>
      <c r="J34">
        <v>-456.8</v>
      </c>
      <c r="K34">
        <v>-43.186065010440885</v>
      </c>
      <c r="L34">
        <v>-51.439929359110508</v>
      </c>
      <c r="M34">
        <v>-246.07599436955138</v>
      </c>
    </row>
    <row r="35" spans="1:13" x14ac:dyDescent="0.25">
      <c r="A35">
        <v>2018</v>
      </c>
      <c r="B35" t="s">
        <v>26</v>
      </c>
      <c r="C35" t="s">
        <v>43</v>
      </c>
      <c r="D35">
        <v>0</v>
      </c>
      <c r="E35">
        <v>13</v>
      </c>
      <c r="F35">
        <v>83.4</v>
      </c>
      <c r="G35">
        <v>171.2</v>
      </c>
      <c r="H35">
        <v>42.5</v>
      </c>
      <c r="I35">
        <v>90.3</v>
      </c>
      <c r="J35">
        <v>-471.7</v>
      </c>
      <c r="K35">
        <v>-176.24328493768999</v>
      </c>
      <c r="L35">
        <v>-52.388580142736679</v>
      </c>
      <c r="M35">
        <v>-312.93186508042658</v>
      </c>
    </row>
    <row r="36" spans="1:13" x14ac:dyDescent="0.25">
      <c r="A36">
        <v>2018</v>
      </c>
      <c r="B36" t="s">
        <v>26</v>
      </c>
      <c r="C36" t="s">
        <v>44</v>
      </c>
      <c r="D36">
        <v>500</v>
      </c>
      <c r="E36">
        <v>12.9</v>
      </c>
      <c r="F36">
        <v>92.2</v>
      </c>
      <c r="G36">
        <v>100.3</v>
      </c>
      <c r="H36">
        <v>29.2</v>
      </c>
      <c r="I36">
        <v>95.050000000000011</v>
      </c>
      <c r="J36">
        <v>-510.6</v>
      </c>
      <c r="K36">
        <v>-222.68104988486954</v>
      </c>
      <c r="L36">
        <v>-36.747732065994562</v>
      </c>
      <c r="M36">
        <v>-453.27878195086413</v>
      </c>
    </row>
    <row r="37" spans="1:13" x14ac:dyDescent="0.25">
      <c r="A37">
        <v>2018</v>
      </c>
      <c r="B37" t="s">
        <v>27</v>
      </c>
      <c r="C37" t="s">
        <v>45</v>
      </c>
      <c r="D37">
        <v>0</v>
      </c>
      <c r="E37">
        <v>15</v>
      </c>
      <c r="F37">
        <v>48.3</v>
      </c>
      <c r="G37">
        <v>103.4</v>
      </c>
      <c r="H37">
        <v>13.2</v>
      </c>
      <c r="I37">
        <v>99</v>
      </c>
      <c r="J37">
        <v>-467.4</v>
      </c>
      <c r="K37">
        <v>-99.202508274661653</v>
      </c>
      <c r="L37">
        <v>-41.744611078699023</v>
      </c>
      <c r="M37">
        <v>-344.44711935336068</v>
      </c>
    </row>
    <row r="38" spans="1:13" x14ac:dyDescent="0.25">
      <c r="A38">
        <v>2018</v>
      </c>
      <c r="B38" t="s">
        <v>27</v>
      </c>
      <c r="C38" t="s">
        <v>46</v>
      </c>
      <c r="D38">
        <v>500</v>
      </c>
      <c r="E38">
        <v>15.1</v>
      </c>
      <c r="F38">
        <v>59.6</v>
      </c>
      <c r="G38">
        <v>140.6</v>
      </c>
      <c r="H38">
        <v>46.9</v>
      </c>
      <c r="I38">
        <v>116.25</v>
      </c>
      <c r="J38">
        <v>-481.3</v>
      </c>
      <c r="K38">
        <v>-83.257924457440453</v>
      </c>
      <c r="L38">
        <v>-30.869889526585947</v>
      </c>
      <c r="M38">
        <v>-232.07781398402639</v>
      </c>
    </row>
    <row r="39" spans="1:13" x14ac:dyDescent="0.25">
      <c r="A39">
        <v>2019</v>
      </c>
      <c r="B39" t="s">
        <v>22</v>
      </c>
      <c r="C39" t="s">
        <v>35</v>
      </c>
      <c r="D39" t="s">
        <v>14</v>
      </c>
      <c r="E39">
        <v>3.8116666681723061</v>
      </c>
      <c r="F39">
        <v>86.4</v>
      </c>
      <c r="G39">
        <v>84.910791993037407</v>
      </c>
      <c r="H39">
        <v>140</v>
      </c>
      <c r="I39">
        <v>10.375</v>
      </c>
      <c r="J39">
        <v>-305.88129603310182</v>
      </c>
      <c r="K39">
        <v>-43.366653986991764</v>
      </c>
      <c r="L39">
        <v>-30</v>
      </c>
      <c r="M39">
        <v>-57.562158027056171</v>
      </c>
    </row>
    <row r="40" spans="1:13" x14ac:dyDescent="0.25">
      <c r="A40">
        <v>2019</v>
      </c>
      <c r="B40" t="s">
        <v>22</v>
      </c>
      <c r="C40" t="s">
        <v>36</v>
      </c>
      <c r="D40" t="s">
        <v>14</v>
      </c>
      <c r="E40">
        <v>3.7393655323830544</v>
      </c>
      <c r="F40">
        <v>92.8</v>
      </c>
      <c r="G40">
        <v>108.5113141862489</v>
      </c>
      <c r="H40">
        <v>140</v>
      </c>
      <c r="I40">
        <v>49.475000000000001</v>
      </c>
      <c r="J40">
        <v>-327.66916073806044</v>
      </c>
      <c r="K40">
        <v>-88.999348298468547</v>
      </c>
      <c r="L40">
        <v>-30</v>
      </c>
      <c r="M40">
        <v>-55.882194850280101</v>
      </c>
    </row>
    <row r="41" spans="1:13" x14ac:dyDescent="0.25">
      <c r="A41">
        <v>2019</v>
      </c>
      <c r="B41" t="s">
        <v>23</v>
      </c>
      <c r="C41" t="s">
        <v>37</v>
      </c>
      <c r="D41">
        <v>0</v>
      </c>
      <c r="E41">
        <v>5.5852804552969424</v>
      </c>
      <c r="F41">
        <v>54.2</v>
      </c>
      <c r="G41">
        <v>44.498694516971277</v>
      </c>
      <c r="H41">
        <v>198.1</v>
      </c>
      <c r="I41">
        <v>69.800000000000011</v>
      </c>
      <c r="J41">
        <v>-347.80529497794441</v>
      </c>
      <c r="K41">
        <v>-8.847596900926872</v>
      </c>
      <c r="L41">
        <v>-29.636919280486303</v>
      </c>
      <c r="M41">
        <v>-19.691116642386284</v>
      </c>
    </row>
    <row r="42" spans="1:13" x14ac:dyDescent="0.25">
      <c r="A42">
        <v>2019</v>
      </c>
      <c r="B42" t="s">
        <v>23</v>
      </c>
      <c r="C42" t="s">
        <v>38</v>
      </c>
      <c r="D42">
        <v>500</v>
      </c>
      <c r="E42">
        <v>4.9921890073716293</v>
      </c>
      <c r="F42">
        <v>108.8</v>
      </c>
      <c r="G42">
        <v>74.04960835509138</v>
      </c>
      <c r="H42">
        <v>135.13999999999999</v>
      </c>
      <c r="I42">
        <v>21.675000000000001</v>
      </c>
      <c r="J42">
        <v>-348.45026907019178</v>
      </c>
      <c r="K42">
        <v>-9.003714575134584</v>
      </c>
      <c r="L42">
        <v>-14.220214636658394</v>
      </c>
      <c r="M42">
        <v>-32.009589926893369</v>
      </c>
    </row>
    <row r="43" spans="1:13" x14ac:dyDescent="0.25">
      <c r="A43">
        <v>2019</v>
      </c>
      <c r="B43" t="s">
        <v>24</v>
      </c>
      <c r="C43" t="s">
        <v>39</v>
      </c>
      <c r="D43">
        <v>0</v>
      </c>
      <c r="E43">
        <v>7.6006292855009043</v>
      </c>
      <c r="F43">
        <v>146.19999999999999</v>
      </c>
      <c r="G43">
        <v>103.90626631853787</v>
      </c>
      <c r="H43">
        <v>135.47399999999999</v>
      </c>
      <c r="I43">
        <v>82.1</v>
      </c>
      <c r="J43">
        <v>-391.91031581278031</v>
      </c>
      <c r="K43">
        <v>-36.52990808147095</v>
      </c>
      <c r="L43">
        <v>-54.610093403441539</v>
      </c>
      <c r="M43">
        <v>-15.370050979154939</v>
      </c>
    </row>
    <row r="44" spans="1:13" x14ac:dyDescent="0.25">
      <c r="A44">
        <v>2019</v>
      </c>
      <c r="B44" t="s">
        <v>24</v>
      </c>
      <c r="C44" t="s">
        <v>40</v>
      </c>
      <c r="D44">
        <v>500</v>
      </c>
      <c r="E44">
        <v>7.7287962456783106</v>
      </c>
      <c r="F44">
        <v>88.3</v>
      </c>
      <c r="G44">
        <v>79.790252393385558</v>
      </c>
      <c r="H44">
        <v>76.716999999999999</v>
      </c>
      <c r="I44">
        <v>43.625</v>
      </c>
      <c r="J44">
        <v>-405.39139586569274</v>
      </c>
      <c r="K44">
        <v>-33.29294554481077</v>
      </c>
      <c r="L44">
        <v>-25.872010876568115</v>
      </c>
      <c r="M44">
        <v>-176.12409989368606</v>
      </c>
    </row>
    <row r="45" spans="1:13" x14ac:dyDescent="0.25">
      <c r="A45">
        <v>2019</v>
      </c>
      <c r="B45" t="s">
        <v>25</v>
      </c>
      <c r="C45" t="s">
        <v>41</v>
      </c>
      <c r="D45">
        <v>0</v>
      </c>
      <c r="E45">
        <v>10.155421440848107</v>
      </c>
      <c r="F45">
        <v>80.599999999999994</v>
      </c>
      <c r="G45">
        <v>130.5626631853786</v>
      </c>
      <c r="H45">
        <v>46.973999999999997</v>
      </c>
      <c r="I45">
        <v>86.375</v>
      </c>
      <c r="J45">
        <v>-427.18602650778968</v>
      </c>
      <c r="K45">
        <v>-91.89586516465161</v>
      </c>
      <c r="L45">
        <v>-25.85621908368941</v>
      </c>
      <c r="M45">
        <v>-200.42644757075209</v>
      </c>
    </row>
    <row r="46" spans="1:13" x14ac:dyDescent="0.25">
      <c r="A46">
        <v>2019</v>
      </c>
      <c r="B46" t="s">
        <v>25</v>
      </c>
      <c r="C46" t="s">
        <v>42</v>
      </c>
      <c r="D46">
        <v>500</v>
      </c>
      <c r="E46">
        <v>9.9670640313031207</v>
      </c>
      <c r="F46">
        <v>86.8</v>
      </c>
      <c r="G46">
        <v>165.04743255004351</v>
      </c>
      <c r="H46">
        <v>16.591000000000001</v>
      </c>
      <c r="I46">
        <v>107.82499999999999</v>
      </c>
      <c r="J46">
        <v>-381.07052048887448</v>
      </c>
      <c r="K46">
        <v>-123.7546364347874</v>
      </c>
      <c r="L46">
        <v>-46.858039699050259</v>
      </c>
      <c r="M46">
        <v>-175.41976407266867</v>
      </c>
    </row>
    <row r="47" spans="1:13" x14ac:dyDescent="0.25">
      <c r="A47">
        <v>2019</v>
      </c>
      <c r="B47" t="s">
        <v>26</v>
      </c>
      <c r="C47" t="s">
        <v>43</v>
      </c>
      <c r="D47">
        <v>0</v>
      </c>
      <c r="E47">
        <v>12.267073820393003</v>
      </c>
      <c r="F47">
        <v>85.2</v>
      </c>
      <c r="G47">
        <v>72.181026979982605</v>
      </c>
      <c r="H47">
        <v>29.765000000000001</v>
      </c>
      <c r="I47">
        <v>82.699999999999989</v>
      </c>
      <c r="J47">
        <v>-427.79328512151426</v>
      </c>
      <c r="K47">
        <v>-158.78070097955418</v>
      </c>
      <c r="L47">
        <v>-45.478800120027557</v>
      </c>
      <c r="M47">
        <v>-362.20675924111345</v>
      </c>
    </row>
    <row r="48" spans="1:13" x14ac:dyDescent="0.25">
      <c r="A48">
        <v>2019</v>
      </c>
      <c r="B48" t="s">
        <v>26</v>
      </c>
      <c r="C48" t="s">
        <v>44</v>
      </c>
      <c r="D48">
        <v>500</v>
      </c>
      <c r="E48">
        <v>12.206851442462563</v>
      </c>
      <c r="F48">
        <v>100.3</v>
      </c>
      <c r="G48">
        <v>164.06475195822452</v>
      </c>
      <c r="H48">
        <v>73.472999999999999</v>
      </c>
      <c r="I48">
        <v>122.92500000000001</v>
      </c>
      <c r="J48">
        <v>-468.33270490625478</v>
      </c>
      <c r="K48">
        <v>-239.79335572821657</v>
      </c>
      <c r="L48">
        <v>-33.67676244549483</v>
      </c>
      <c r="M48">
        <v>-281.04007112174162</v>
      </c>
    </row>
    <row r="49" spans="1:13" x14ac:dyDescent="0.25">
      <c r="A49">
        <v>2019</v>
      </c>
      <c r="B49" t="s">
        <v>27</v>
      </c>
      <c r="C49" t="s">
        <v>45</v>
      </c>
      <c r="D49">
        <v>0</v>
      </c>
      <c r="E49">
        <v>14.327673023826563</v>
      </c>
      <c r="F49">
        <v>51.6</v>
      </c>
      <c r="G49">
        <v>133.16057441253264</v>
      </c>
      <c r="H49">
        <v>9.3780000000000001</v>
      </c>
      <c r="I49">
        <v>131.30000000000001</v>
      </c>
      <c r="J49">
        <v>-635.0470120012402</v>
      </c>
      <c r="K49">
        <v>-360.49727783747761</v>
      </c>
      <c r="L49">
        <v>-35.275504843811895</v>
      </c>
      <c r="M49">
        <v>-705.38122026999702</v>
      </c>
    </row>
    <row r="50" spans="1:13" x14ac:dyDescent="0.25">
      <c r="A50">
        <v>2019</v>
      </c>
      <c r="B50" t="s">
        <v>27</v>
      </c>
      <c r="C50" t="s">
        <v>46</v>
      </c>
      <c r="D50">
        <v>500</v>
      </c>
      <c r="E50">
        <v>14.311856624712501</v>
      </c>
      <c r="F50">
        <v>85.7</v>
      </c>
      <c r="G50">
        <v>159.81375108790255</v>
      </c>
      <c r="H50">
        <v>7.423</v>
      </c>
      <c r="I50">
        <v>125.27500000000001</v>
      </c>
      <c r="J50">
        <v>-608.04994091651565</v>
      </c>
      <c r="K50">
        <v>-295.76487869689601</v>
      </c>
      <c r="L50">
        <v>-30.879230007413003</v>
      </c>
      <c r="M50">
        <v>-556.48229853292207</v>
      </c>
    </row>
    <row r="51" spans="1:13" x14ac:dyDescent="0.25">
      <c r="A51">
        <v>2020</v>
      </c>
      <c r="B51" t="s">
        <v>22</v>
      </c>
      <c r="C51" t="s">
        <v>35</v>
      </c>
      <c r="D51" t="s">
        <v>14</v>
      </c>
      <c r="E51">
        <v>5.4799633379549251</v>
      </c>
      <c r="F51">
        <v>84.9</v>
      </c>
      <c r="G51">
        <v>79.845395996518704</v>
      </c>
      <c r="H51">
        <v>140</v>
      </c>
      <c r="I51">
        <v>10.2125</v>
      </c>
      <c r="J51">
        <v>-318.13270903245382</v>
      </c>
      <c r="K51">
        <v>-104.32460992622732</v>
      </c>
      <c r="L51">
        <v>-18</v>
      </c>
      <c r="M51">
        <v>-125.49942296216246</v>
      </c>
    </row>
    <row r="52" spans="1:13" x14ac:dyDescent="0.25">
      <c r="A52">
        <v>2020</v>
      </c>
      <c r="B52" t="s">
        <v>22</v>
      </c>
      <c r="C52" t="s">
        <v>36</v>
      </c>
      <c r="D52" t="s">
        <v>14</v>
      </c>
      <c r="E52">
        <v>5.1961942035049358</v>
      </c>
      <c r="F52">
        <v>97.5</v>
      </c>
      <c r="G52">
        <v>81.345657093124444</v>
      </c>
      <c r="H52">
        <v>140</v>
      </c>
      <c r="I52">
        <v>48.112499999999997</v>
      </c>
      <c r="J52">
        <v>-370.38397115705584</v>
      </c>
      <c r="L52">
        <v>-18</v>
      </c>
      <c r="M52">
        <v>-21.425814063931398</v>
      </c>
    </row>
    <row r="53" spans="1:13" x14ac:dyDescent="0.25">
      <c r="A53">
        <v>2020</v>
      </c>
      <c r="B53" t="s">
        <v>23</v>
      </c>
      <c r="C53" t="s">
        <v>37</v>
      </c>
      <c r="D53">
        <v>0</v>
      </c>
      <c r="E53">
        <v>7.051947848179144</v>
      </c>
      <c r="F53">
        <v>84.1</v>
      </c>
      <c r="G53">
        <v>81.284347258485639</v>
      </c>
      <c r="H53">
        <v>148.80000000000001</v>
      </c>
      <c r="I53">
        <v>68.75</v>
      </c>
      <c r="J53">
        <v>-364.47738793374907</v>
      </c>
      <c r="K53">
        <v>-10.062539462103777</v>
      </c>
      <c r="L53">
        <v>-17.572979784298987</v>
      </c>
      <c r="M53">
        <v>-9.178559921666162</v>
      </c>
    </row>
    <row r="54" spans="1:13" x14ac:dyDescent="0.25">
      <c r="A54">
        <v>2020</v>
      </c>
      <c r="B54" t="s">
        <v>23</v>
      </c>
      <c r="C54" t="s">
        <v>38</v>
      </c>
      <c r="D54">
        <v>500</v>
      </c>
      <c r="E54">
        <v>6.3368243725190805</v>
      </c>
      <c r="F54">
        <v>73.3</v>
      </c>
      <c r="G54">
        <v>76.309804177545686</v>
      </c>
      <c r="H54">
        <v>116.3</v>
      </c>
      <c r="I54">
        <v>23.712499999999999</v>
      </c>
      <c r="J54">
        <v>-382.89880433731622</v>
      </c>
      <c r="K54">
        <v>-12.055735595951965</v>
      </c>
      <c r="L54">
        <v>-17.990277766978977</v>
      </c>
      <c r="M54">
        <v>-123.32251352270148</v>
      </c>
    </row>
    <row r="55" spans="1:13" x14ac:dyDescent="0.25">
      <c r="A55">
        <v>2020</v>
      </c>
      <c r="B55" t="s">
        <v>24</v>
      </c>
      <c r="C55" t="s">
        <v>39</v>
      </c>
      <c r="D55">
        <v>0</v>
      </c>
      <c r="E55">
        <v>9.1067855515877412</v>
      </c>
      <c r="F55">
        <v>170.3</v>
      </c>
      <c r="G55">
        <v>78.138133159268932</v>
      </c>
      <c r="H55">
        <v>134.80000000000001</v>
      </c>
      <c r="I55">
        <v>86.35</v>
      </c>
      <c r="J55">
        <v>-425.60797436243774</v>
      </c>
      <c r="K55">
        <v>-45.73916247191945</v>
      </c>
      <c r="L55">
        <v>-37.647432409016503</v>
      </c>
      <c r="M55">
        <v>-39.406436084104719</v>
      </c>
    </row>
    <row r="56" spans="1:13" x14ac:dyDescent="0.25">
      <c r="A56">
        <v>2020</v>
      </c>
      <c r="B56" t="s">
        <v>24</v>
      </c>
      <c r="C56" t="s">
        <v>40</v>
      </c>
      <c r="D56">
        <v>500</v>
      </c>
      <c r="E56">
        <v>9.1209379744968366</v>
      </c>
      <c r="F56">
        <v>87.5</v>
      </c>
      <c r="G56">
        <v>80.490126196692785</v>
      </c>
      <c r="H56">
        <v>82.7</v>
      </c>
      <c r="I56">
        <v>41.087499999999999</v>
      </c>
      <c r="J56">
        <v>-439.94608201762236</v>
      </c>
      <c r="K56">
        <v>-47.006136786484987</v>
      </c>
      <c r="L56">
        <v>-19.913044746890129</v>
      </c>
      <c r="M56">
        <v>-215.08763735430472</v>
      </c>
    </row>
    <row r="57" spans="1:13" x14ac:dyDescent="0.25">
      <c r="A57">
        <v>2020</v>
      </c>
      <c r="B57" t="s">
        <v>25</v>
      </c>
      <c r="C57" t="s">
        <v>41</v>
      </c>
      <c r="D57">
        <v>0</v>
      </c>
      <c r="E57">
        <v>11.637227059119049</v>
      </c>
      <c r="F57">
        <v>79.599999999999994</v>
      </c>
      <c r="G57">
        <v>125.2813315926893</v>
      </c>
      <c r="H57">
        <v>62.5</v>
      </c>
      <c r="I57">
        <v>86.712500000000006</v>
      </c>
      <c r="J57">
        <v>-471.95824567686736</v>
      </c>
      <c r="K57">
        <v>-136.95346213522711</v>
      </c>
      <c r="L57">
        <v>-17.832739334691688</v>
      </c>
      <c r="M57">
        <v>-272.65061555409687</v>
      </c>
    </row>
    <row r="58" spans="1:13" x14ac:dyDescent="0.25">
      <c r="A58">
        <v>2020</v>
      </c>
      <c r="B58" t="s">
        <v>25</v>
      </c>
      <c r="C58" t="s">
        <v>42</v>
      </c>
      <c r="D58">
        <v>500</v>
      </c>
      <c r="E58">
        <v>11.492997622844964</v>
      </c>
      <c r="F58">
        <v>43.6</v>
      </c>
      <c r="G58">
        <v>168.83871627502174</v>
      </c>
      <c r="H58">
        <v>4.8</v>
      </c>
      <c r="I58">
        <v>107.33749999999999</v>
      </c>
      <c r="J58">
        <v>-422.76175505563793</v>
      </c>
      <c r="K58">
        <v>-190.10884560279183</v>
      </c>
      <c r="L58">
        <v>-28.052884237128513</v>
      </c>
      <c r="M58">
        <v>-316.34726862053651</v>
      </c>
    </row>
    <row r="59" spans="1:13" x14ac:dyDescent="0.25">
      <c r="A59">
        <v>2020</v>
      </c>
      <c r="B59" t="s">
        <v>26</v>
      </c>
      <c r="C59" t="s">
        <v>43</v>
      </c>
      <c r="D59">
        <v>0</v>
      </c>
      <c r="E59">
        <v>13.865411286866646</v>
      </c>
      <c r="F59">
        <v>133.9</v>
      </c>
      <c r="G59">
        <v>90.215513489991309</v>
      </c>
      <c r="H59">
        <v>9.6999999999999993</v>
      </c>
      <c r="I59">
        <v>86.5</v>
      </c>
      <c r="J59">
        <v>-461.69054259482368</v>
      </c>
      <c r="K59">
        <v>-254.01816300916906</v>
      </c>
      <c r="L59">
        <v>-27.707829704318627</v>
      </c>
      <c r="M59">
        <v>-423.10102181832002</v>
      </c>
    </row>
    <row r="60" spans="1:13" x14ac:dyDescent="0.25">
      <c r="A60">
        <v>2020</v>
      </c>
      <c r="B60" t="s">
        <v>26</v>
      </c>
      <c r="C60" t="s">
        <v>44</v>
      </c>
      <c r="D60">
        <v>500</v>
      </c>
      <c r="E60">
        <v>13.6650375069372</v>
      </c>
      <c r="F60">
        <v>88.1</v>
      </c>
      <c r="G60">
        <v>158.28237597911226</v>
      </c>
      <c r="H60">
        <v>50.3</v>
      </c>
      <c r="I60">
        <v>108.98750000000001</v>
      </c>
      <c r="J60">
        <v>-522.54666639520781</v>
      </c>
      <c r="K60">
        <v>-308.58879552881979</v>
      </c>
      <c r="L60">
        <v>-23.870208216501499</v>
      </c>
      <c r="M60">
        <v>-449.33579416141686</v>
      </c>
    </row>
    <row r="61" spans="1:13" x14ac:dyDescent="0.25">
      <c r="A61">
        <v>2020</v>
      </c>
      <c r="B61" t="s">
        <v>27</v>
      </c>
      <c r="C61" t="s">
        <v>45</v>
      </c>
      <c r="D61">
        <v>0</v>
      </c>
      <c r="E61">
        <v>15.789778209337264</v>
      </c>
      <c r="F61">
        <v>66.5</v>
      </c>
      <c r="G61">
        <v>163.1952872062663</v>
      </c>
      <c r="H61">
        <v>1.8</v>
      </c>
      <c r="I61">
        <v>115.15</v>
      </c>
      <c r="J61">
        <v>-697.63864667245036</v>
      </c>
      <c r="K61">
        <v>-574.32205958750319</v>
      </c>
      <c r="L61">
        <v>-17.944360919237472</v>
      </c>
      <c r="M61">
        <v>-943.25977997292478</v>
      </c>
    </row>
    <row r="62" spans="1:13" x14ac:dyDescent="0.25">
      <c r="A62">
        <v>2020</v>
      </c>
      <c r="B62" t="s">
        <v>27</v>
      </c>
      <c r="C62" t="s">
        <v>46</v>
      </c>
      <c r="D62">
        <v>500</v>
      </c>
      <c r="E62">
        <v>15.852109103625477</v>
      </c>
      <c r="F62">
        <v>138.9</v>
      </c>
      <c r="G62">
        <v>184.81687554395126</v>
      </c>
      <c r="H62">
        <v>4.9000000000000004</v>
      </c>
      <c r="I62">
        <v>120.7625</v>
      </c>
      <c r="J62">
        <v>-656.04106195638963</v>
      </c>
      <c r="K62">
        <v>-460.61617331894132</v>
      </c>
      <c r="L62">
        <v>-14.057275796407426</v>
      </c>
      <c r="M62">
        <v>-681.3351355277872</v>
      </c>
    </row>
    <row r="63" spans="1:13" x14ac:dyDescent="0.25">
      <c r="A63">
        <v>2021</v>
      </c>
      <c r="B63" t="s">
        <v>22</v>
      </c>
      <c r="C63" t="s">
        <v>35</v>
      </c>
      <c r="D63" t="s">
        <v>14</v>
      </c>
      <c r="E63">
        <v>6</v>
      </c>
      <c r="F63">
        <v>113.1</v>
      </c>
      <c r="G63">
        <v>74.78</v>
      </c>
      <c r="H63">
        <v>140</v>
      </c>
      <c r="I63">
        <v>10.293749999999999</v>
      </c>
      <c r="J63">
        <v>-318.17962501701265</v>
      </c>
      <c r="K63">
        <v>-8.9971900723817484</v>
      </c>
      <c r="L63">
        <v>-15</v>
      </c>
      <c r="M63">
        <v>-4.0030650893944184</v>
      </c>
    </row>
    <row r="64" spans="1:13" x14ac:dyDescent="0.25">
      <c r="A64">
        <v>2021</v>
      </c>
      <c r="B64" t="s">
        <v>22</v>
      </c>
      <c r="C64" t="s">
        <v>36</v>
      </c>
      <c r="D64" t="s">
        <v>14</v>
      </c>
      <c r="E64">
        <v>6.4</v>
      </c>
      <c r="F64">
        <v>174.4</v>
      </c>
      <c r="G64">
        <v>54.18</v>
      </c>
      <c r="H64">
        <v>140</v>
      </c>
      <c r="I64">
        <v>48.793750000000003</v>
      </c>
      <c r="J64">
        <v>-345.50675767130105</v>
      </c>
      <c r="K64">
        <v>-32.778719982791941</v>
      </c>
      <c r="L64">
        <v>-15</v>
      </c>
      <c r="M64">
        <v>24.088272345907043</v>
      </c>
    </row>
    <row r="65" spans="1:13" x14ac:dyDescent="0.25">
      <c r="A65">
        <v>2021</v>
      </c>
      <c r="B65" t="s">
        <v>23</v>
      </c>
      <c r="C65" t="s">
        <v>37</v>
      </c>
      <c r="D65">
        <v>0</v>
      </c>
      <c r="E65">
        <v>7.7</v>
      </c>
      <c r="F65">
        <v>107.4</v>
      </c>
      <c r="G65">
        <v>118.07</v>
      </c>
      <c r="H65">
        <v>85.7</v>
      </c>
      <c r="I65">
        <v>69.275000000000006</v>
      </c>
      <c r="J65">
        <v>-394.96811880161215</v>
      </c>
      <c r="K65">
        <v>-7.7009598458002468</v>
      </c>
      <c r="L65">
        <v>-7.8383528364056945</v>
      </c>
      <c r="M65">
        <v>-30.062431483818042</v>
      </c>
    </row>
    <row r="66" spans="1:13" x14ac:dyDescent="0.25">
      <c r="A66">
        <v>2021</v>
      </c>
      <c r="B66" t="s">
        <v>23</v>
      </c>
      <c r="C66" t="s">
        <v>38</v>
      </c>
      <c r="D66">
        <v>500</v>
      </c>
      <c r="E66">
        <v>7.8</v>
      </c>
      <c r="F66">
        <v>85.1</v>
      </c>
      <c r="G66">
        <v>78.569999999999993</v>
      </c>
      <c r="H66">
        <v>71.8</v>
      </c>
      <c r="I66">
        <v>22.693750000000001</v>
      </c>
      <c r="J66">
        <v>-385.70068322321725</v>
      </c>
      <c r="K66">
        <v>-8.346083773503354</v>
      </c>
      <c r="L66">
        <v>-14.728175754155782</v>
      </c>
      <c r="M66">
        <v>-150.6111927508764</v>
      </c>
    </row>
    <row r="67" spans="1:13" x14ac:dyDescent="0.25">
      <c r="A67">
        <v>2021</v>
      </c>
      <c r="B67" t="s">
        <v>24</v>
      </c>
      <c r="C67" t="s">
        <v>39</v>
      </c>
      <c r="D67">
        <v>0</v>
      </c>
      <c r="E67">
        <v>10</v>
      </c>
      <c r="F67">
        <v>224</v>
      </c>
      <c r="G67">
        <v>52.37</v>
      </c>
      <c r="H67">
        <v>114.8</v>
      </c>
      <c r="I67">
        <v>84.224999999999994</v>
      </c>
      <c r="J67">
        <v>-438.6478311432968</v>
      </c>
      <c r="K67">
        <v>-26.59</v>
      </c>
      <c r="L67">
        <v>-24.95154426219457</v>
      </c>
      <c r="M67">
        <v>-14.794375405491387</v>
      </c>
    </row>
    <row r="68" spans="1:13" x14ac:dyDescent="0.25">
      <c r="A68">
        <v>2021</v>
      </c>
      <c r="B68" t="s">
        <v>24</v>
      </c>
      <c r="C68" t="s">
        <v>40</v>
      </c>
      <c r="D68">
        <v>500</v>
      </c>
      <c r="E68">
        <v>9.9</v>
      </c>
      <c r="F68">
        <v>125.1</v>
      </c>
      <c r="G68">
        <v>81.19</v>
      </c>
      <c r="H68">
        <v>43.9</v>
      </c>
      <c r="I68">
        <v>42.356250000000003</v>
      </c>
      <c r="J68">
        <v>-476.10576299834361</v>
      </c>
      <c r="K68">
        <v>-18.68</v>
      </c>
      <c r="L68">
        <v>-6.873584023976985</v>
      </c>
      <c r="M68">
        <v>-209.1130970223206</v>
      </c>
    </row>
    <row r="69" spans="1:13" x14ac:dyDescent="0.25">
      <c r="A69">
        <v>2021</v>
      </c>
      <c r="B69" t="s">
        <v>25</v>
      </c>
      <c r="C69" t="s">
        <v>41</v>
      </c>
      <c r="D69">
        <v>0</v>
      </c>
      <c r="E69">
        <v>12.2</v>
      </c>
      <c r="F69">
        <v>86.7</v>
      </c>
      <c r="G69">
        <v>120</v>
      </c>
      <c r="H69">
        <v>64.3</v>
      </c>
      <c r="I69">
        <v>86.543750000000003</v>
      </c>
      <c r="J69">
        <v>-503.28239517798511</v>
      </c>
      <c r="K69">
        <v>-44.42</v>
      </c>
      <c r="L69">
        <v>-5.4072805292438453</v>
      </c>
      <c r="M69">
        <v>-195.56592570722898</v>
      </c>
    </row>
    <row r="70" spans="1:13" x14ac:dyDescent="0.25">
      <c r="A70">
        <v>2021</v>
      </c>
      <c r="B70" t="s">
        <v>25</v>
      </c>
      <c r="C70" t="s">
        <v>42</v>
      </c>
      <c r="D70">
        <v>500</v>
      </c>
      <c r="E70">
        <v>12.1</v>
      </c>
      <c r="F70">
        <v>103.3</v>
      </c>
      <c r="G70">
        <v>172.63</v>
      </c>
      <c r="H70">
        <v>9.6</v>
      </c>
      <c r="I70">
        <v>107.58124999999998</v>
      </c>
      <c r="J70">
        <v>-453.75569972332073</v>
      </c>
      <c r="K70">
        <v>-54.28</v>
      </c>
      <c r="L70">
        <v>-13.923318275129223</v>
      </c>
      <c r="M70">
        <v>-128.84776799844991</v>
      </c>
    </row>
    <row r="71" spans="1:13" x14ac:dyDescent="0.25">
      <c r="A71">
        <v>2021</v>
      </c>
      <c r="B71" t="s">
        <v>26</v>
      </c>
      <c r="C71" t="s">
        <v>43</v>
      </c>
      <c r="D71">
        <v>0</v>
      </c>
      <c r="E71">
        <v>14.5</v>
      </c>
      <c r="F71">
        <v>153.80000000000001</v>
      </c>
      <c r="G71">
        <v>108.25</v>
      </c>
      <c r="H71">
        <v>15.3</v>
      </c>
      <c r="I71">
        <v>84.6</v>
      </c>
      <c r="J71">
        <v>-504.83075717650723</v>
      </c>
      <c r="K71">
        <v>-69.588844864090845</v>
      </c>
      <c r="L71">
        <v>-12.136972482037732</v>
      </c>
      <c r="M71">
        <v>-224.60657452263575</v>
      </c>
    </row>
    <row r="72" spans="1:13" x14ac:dyDescent="0.25">
      <c r="A72">
        <v>2021</v>
      </c>
      <c r="B72" t="s">
        <v>26</v>
      </c>
      <c r="C72" t="s">
        <v>44</v>
      </c>
      <c r="D72">
        <v>500</v>
      </c>
      <c r="E72">
        <v>14.4</v>
      </c>
      <c r="F72">
        <v>137.6</v>
      </c>
      <c r="G72">
        <v>152.5</v>
      </c>
      <c r="H72">
        <v>28.2</v>
      </c>
      <c r="I72">
        <v>115.95625000000001</v>
      </c>
      <c r="J72">
        <v>-525.33361457672277</v>
      </c>
      <c r="K72">
        <v>-106.95002864395885</v>
      </c>
      <c r="L72">
        <v>-6.7855241249914124</v>
      </c>
      <c r="M72">
        <v>-204.81291734567299</v>
      </c>
    </row>
    <row r="73" spans="1:13" x14ac:dyDescent="0.25">
      <c r="A73">
        <v>2021</v>
      </c>
      <c r="B73" t="s">
        <v>27</v>
      </c>
      <c r="C73" t="s">
        <v>45</v>
      </c>
      <c r="D73">
        <v>0</v>
      </c>
      <c r="E73">
        <v>16.399999999999999</v>
      </c>
      <c r="F73">
        <v>105.3</v>
      </c>
      <c r="G73">
        <v>193.23</v>
      </c>
      <c r="H73">
        <v>0</v>
      </c>
      <c r="I73">
        <v>123.22500000000001</v>
      </c>
      <c r="J73">
        <v>-735.2039068005862</v>
      </c>
      <c r="K73">
        <v>-110.09</v>
      </c>
      <c r="L73">
        <v>-4.2184177821804889</v>
      </c>
      <c r="M73">
        <v>-427.75732458276673</v>
      </c>
    </row>
    <row r="74" spans="1:13" x14ac:dyDescent="0.25">
      <c r="A74">
        <v>2021</v>
      </c>
      <c r="B74" t="s">
        <v>27</v>
      </c>
      <c r="C74" t="s">
        <v>46</v>
      </c>
      <c r="D74">
        <v>500</v>
      </c>
      <c r="E74">
        <v>16.399999999999999</v>
      </c>
      <c r="F74">
        <v>136.80000000000001</v>
      </c>
      <c r="G74">
        <v>209.82</v>
      </c>
      <c r="H74">
        <v>7.7</v>
      </c>
      <c r="I74">
        <v>123.01875000000001</v>
      </c>
      <c r="J74">
        <v>-685.18119612366218</v>
      </c>
      <c r="K74">
        <v>-75.569999999999993</v>
      </c>
      <c r="L74">
        <v>-12.619618790780219</v>
      </c>
      <c r="M74">
        <v>-296.0320649144424</v>
      </c>
    </row>
  </sheetData>
  <mergeCells count="1"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By Year</vt:lpstr>
      <vt:lpstr>DataForPythonRead</vt:lpstr>
      <vt:lpstr>'Data By Year'!Print_Area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Wang, Yaoping</cp:lastModifiedBy>
  <cp:lastPrinted>2021-07-01T17:34:57Z</cp:lastPrinted>
  <dcterms:created xsi:type="dcterms:W3CDTF">2019-11-06T15:27:37Z</dcterms:created>
  <dcterms:modified xsi:type="dcterms:W3CDTF">2023-02-07T21:51:11Z</dcterms:modified>
</cp:coreProperties>
</file>